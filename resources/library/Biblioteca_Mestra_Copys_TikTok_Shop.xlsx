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9.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c5353dc3e5b482a" /></Relationships>
</file>

<file path=xl/workbook.xml><?xml version="1.0" encoding="utf-8"?>
<x:workbook xmlns:x="http://schemas.openxmlformats.org/spreadsheetml/2006/main">
  <x:sheets>
    <x:sheet xmlns:r="http://schemas.openxmlformats.org/officeDocument/2006/relationships" name="Resumo" sheetId="1" r:id="R826dd7ca611b45ea"/>
    <x:sheet xmlns:r="http://schemas.openxmlformats.org/officeDocument/2006/relationships" name="Catalogo" sheetId="2" r:id="R57e544281b194986"/>
    <x:sheet xmlns:r="http://schemas.openxmlformats.org/officeDocument/2006/relationships" name="Hooks" sheetId="3" r:id="Rb195f35d38bd4869"/>
    <x:sheet xmlns:r="http://schemas.openxmlformats.org/officeDocument/2006/relationships" name="Corpos" sheetId="4" r:id="Rcd0a3f20e2e54fe0"/>
    <x:sheet xmlns:r="http://schemas.openxmlformats.org/officeDocument/2006/relationships" name="CTAs" sheetId="5" r:id="R79e8534d1acd4c69"/>
    <x:sheet xmlns:r="http://schemas.openxmlformats.org/officeDocument/2006/relationships" name="Playbook" sheetId="6" r:id="Re9c21a4153cd4669"/>
    <x:sheet xmlns:r="http://schemas.openxmlformats.org/officeDocument/2006/relationships" name="Hashtags" sheetId="7" r:id="Rcb7d29b2e1ec47f1"/>
    <x:sheet xmlns:r="http://schemas.openxmlformats.org/officeDocument/2006/relationships" name="Fontes" sheetId="8" r:id="Rfd4cbe4469d14275"/>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1"/>
      <x:color rgb="FFFFFFFF"/>
      <x:name val="Carlito"/>
    </x:font>
    <x:font>
      <x:b/>
      <x:sz val="10"/>
      <x:color rgb="FFFFFFFF"/>
      <x:name val="Aptos"/>
    </x:font>
    <x:font>
      <x:sz val="10"/>
      <x:name val="Aptos"/>
    </x:font>
    <x:font>
      <x:b/>
      <x:sz val="16"/>
      <x:color rgb="FFFFFFFF"/>
      <x:name val="Carlito"/>
    </x:font>
    <x:font>
      <x:i/>
      <x:sz val="11"/>
      <x:color rgb="FF065F46"/>
      <x:name val="Carlito"/>
    </x:font>
    <x:font>
      <x:b/>
      <x:sz val="14"/>
      <x:color rgb="FF0F766E"/>
      <x:name val="Carlito"/>
    </x:font>
    <x:font>
      <x:b/>
      <x:sz val="11"/>
      <x:color rgb="FF9A3412"/>
      <x:name val="Carlito"/>
    </x:font>
    <x:font>
      <x:b/>
      <x:sz val="11"/>
      <x:color rgb="FF065F46"/>
      <x:name val="Carlito"/>
    </x:font>
    <x:font>
      <x:i/>
      <x:sz val="10"/>
      <x:color rgb="FF065F46"/>
      <x:name val="Aptos"/>
    </x:font>
    <x:font>
      <x:b/>
      <x:sz val="10"/>
      <x:color rgb="FF0F766E"/>
      <x:name val="Aptos"/>
    </x:font>
    <x:font>
      <x:b/>
      <x:sz val="10"/>
      <x:color rgb="FF9A3412"/>
      <x:name val="Aptos"/>
    </x:font>
    <x:font>
      <x:b/>
      <x:sz val="10"/>
      <x:color rgb="FF065F46"/>
      <x:name val="Aptos"/>
    </x:font>
  </x:fonts>
  <x:fills count="7">
    <x:fill>
      <x:patternFill patternType="none"/>
    </x:fill>
    <x:fill>
      <x:patternFill patternType="gray125"/>
    </x:fill>
    <x:fill>
      <x:patternFill patternType="solid">
        <x:fgColor rgb="FF0F766E"/>
      </x:patternFill>
    </x:fill>
    <x:fill>
      <x:patternFill patternType="solid">
        <x:fgColor rgb="FF111827"/>
      </x:patternFill>
    </x:fill>
    <x:fill>
      <x:patternFill patternType="solid">
        <x:fgColor rgb="FFECFDF5"/>
      </x:patternFill>
    </x:fill>
    <x:fill>
      <x:patternFill patternType="solid">
        <x:fgColor rgb="FFF0FDFA"/>
      </x:patternFill>
    </x:fill>
    <x:fill>
      <x:patternFill patternType="solid">
        <x:fgColor rgb="FFFFF7ED"/>
      </x:patternFill>
    </x:fill>
  </x:fills>
  <x:borders count="10">
    <x:border/>
    <x:border>
      <x:left style="thin">
        <x:color rgb="FF0B5F58"/>
      </x:left>
      <x:top style="thin">
        <x:color rgb="FF0B5F58"/>
      </x:top>
      <x:bottom style="thin">
        <x:color rgb="FF0B5F58"/>
      </x:bottom>
    </x:border>
    <x:border>
      <x:top style="thin">
        <x:color rgb="FF0B5F58"/>
      </x:top>
      <x:bottom style="thin">
        <x:color rgb="FF0B5F58"/>
      </x:bottom>
    </x:border>
    <x:border>
      <x:right style="thin">
        <x:color rgb="FF0B5F58"/>
      </x:right>
      <x:top style="thin">
        <x:color rgb="FF0B5F58"/>
      </x:top>
      <x:bottom style="thin">
        <x:color rgb="FF0B5F58"/>
      </x:bottom>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3" fillId="0"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5" borderId="5" xfId="0" applyNumberFormat="1" applyFont="1" applyFill="1" applyBorder="1"/>
    <x:xf numFmtId="0" fontId="0" fillId="5" borderId="7" xfId="0" applyNumberFormat="1" applyFont="1" applyFill="1" applyBorder="1"/>
    <x:xf numFmtId="0" fontId="0" fillId="5" borderId="9" xfId="0" applyNumberFormat="1" applyFont="1" applyFill="1" applyBorder="1"/>
    <x:xf numFmtId="0" fontId="6" fillId="5" borderId="5" xfId="0" applyNumberFormat="1" applyFont="1" applyFill="1" applyBorder="1"/>
    <x:xf numFmtId="0" fontId="6" fillId="5" borderId="7" xfId="0" applyNumberFormat="1" applyFont="1" applyFill="1" applyBorder="1"/>
    <x:xf numFmtId="0" fontId="6" fillId="5" borderId="9" xfId="0" applyNumberFormat="1" applyFont="1" applyFill="1" applyBorder="1"/>
    <x:xf numFmtId="0" fontId="6" fillId="5" borderId="5" xfId="0" applyNumberFormat="1" applyFont="1" applyFill="1" applyBorder="1" applyAlignment="1">
      <x:alignment horizontal="center"/>
    </x:xf>
    <x:xf numFmtId="0" fontId="6" fillId="5" borderId="7" xfId="0" applyNumberFormat="1" applyFont="1" applyFill="1" applyBorder="1" applyAlignment="1">
      <x:alignment horizontal="center"/>
    </x:xf>
    <x:xf numFmtId="0" fontId="6" fillId="5" borderId="9" xfId="0" applyNumberFormat="1" applyFont="1" applyFill="1" applyBorder="1" applyAlignment="1">
      <x:alignment horizontal="center"/>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6" borderId="0" xfId="0" applyNumberFormat="1" applyFont="1" applyFill="1" applyBorder="1"/>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7" fillId="6" borderId="0" xfId="0" applyNumberFormat="1" applyFont="1" applyFill="1" applyBorder="1"/>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0" xfId="0" applyNumberFormat="1" applyFont="1" applyFill="1" applyBorder="1" applyAlignment="1">
      <x:alignment wrapText="1"/>
    </x:xf>
    <x:xf numFmtId="0" fontId="8" fillId="4" borderId="0" xfId="0" applyNumberFormat="1" applyFont="1" applyFill="1" applyBorder="1"/>
    <x:xf numFmtId="0" fontId="8" fillId="4" borderId="0" xfId="0" applyNumberFormat="1" applyFont="1" applyFill="1" applyBorder="1" applyAlignment="1">
      <x:alignment wrapText="1"/>
    </x:xf>
    <x:xf numFmtId="0" fontId="2" fillId="3" borderId="0" xfId="0" applyNumberFormat="1" applyFont="1" applyFill="1" applyBorder="1" applyAlignment="1">
      <x:alignment vertical="center"/>
    </x:xf>
    <x:xf numFmtId="0" fontId="9" fillId="4" borderId="0" xfId="0" applyNumberFormat="1" applyFont="1" applyFill="1" applyBorder="1" applyAlignment="1">
      <x:alignment wrapText="1"/>
    </x:xf>
    <x:xf numFmtId="0" fontId="3" fillId="0" borderId="0" xfId="0" applyNumberFormat="1" applyFont="1" applyFill="1" applyBorder="1"/>
    <x:xf numFmtId="0" fontId="3" fillId="0" borderId="4" xfId="0" applyNumberFormat="1" applyFont="1" applyFill="1" applyBorder="1"/>
    <x:xf numFmtId="0" fontId="10" fillId="5" borderId="5" xfId="0" applyNumberFormat="1" applyFont="1" applyFill="1" applyBorder="1" applyAlignment="1">
      <x:alignment horizontal="center"/>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x:xf numFmtId="0" fontId="10" fillId="5" borderId="7" xfId="0" applyNumberFormat="1" applyFont="1" applyFill="1" applyBorder="1" applyAlignment="1">
      <x:alignment horizontal="center"/>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x:xf numFmtId="0" fontId="10" fillId="5" borderId="9" xfId="0" applyNumberFormat="1" applyFont="1" applyFill="1" applyBorder="1" applyAlignment="1">
      <x:alignment horizontal="center"/>
    </x:xf>
    <x:xf numFmtId="0" fontId="11" fillId="6" borderId="0" xfId="0" applyNumberFormat="1" applyFont="1" applyFill="1" applyBorder="1" applyAlignment="1">
      <x:alignment wrapText="1"/>
    </x:xf>
    <x:xf numFmtId="0" fontId="11" fillId="6" borderId="6" xfId="0" applyNumberFormat="1" applyFont="1" applyFill="1" applyBorder="1" applyAlignment="1">
      <x:alignment wrapText="1"/>
    </x:xf>
    <x:xf numFmtId="0" fontId="11" fillId="6"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12" fillId="4" borderId="0" xfId="0" applyNumberFormat="1" applyFont="1" applyFill="1" applyBorder="1" applyAlignment="1">
      <x:alignment wrapText="1"/>
    </x:xf>
  </x:cellXfs>
  <x:cellStyles count="1">
    <x:cellStyle name="Normal" xfId="0"/>
  </x:cellStyles>
  <x:dxfs count="2">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4cfaa620cd4988" /><Relationship Type="http://schemas.openxmlformats.org/officeDocument/2006/relationships/theme" Target="/xl/theme/theme1.xml" Id="R44eea8a737d643a5" /><Relationship Type="http://schemas.openxmlformats.org/officeDocument/2006/relationships/sharedStrings" Target="/xl/sharedStrings.xml" Id="R60931c3d2ff04219" /><Relationship Type="http://schemas.openxmlformats.org/officeDocument/2006/relationships/worksheet" Target="/xl/worksheets/sheet1.xml" Id="R826dd7ca611b45ea" /><Relationship Type="http://schemas.openxmlformats.org/officeDocument/2006/relationships/worksheet" Target="/xl/worksheets/sheet2.xml" Id="R57e544281b194986" /><Relationship Type="http://schemas.openxmlformats.org/officeDocument/2006/relationships/worksheet" Target="/xl/worksheets/sheet3.xml" Id="Rb195f35d38bd4869" /><Relationship Type="http://schemas.openxmlformats.org/officeDocument/2006/relationships/worksheet" Target="/xl/worksheets/sheet4.xml" Id="Rcd0a3f20e2e54fe0" /><Relationship Type="http://schemas.openxmlformats.org/officeDocument/2006/relationships/worksheet" Target="/xl/worksheets/sheet5.xml" Id="R79e8534d1acd4c69" /><Relationship Type="http://schemas.openxmlformats.org/officeDocument/2006/relationships/worksheet" Target="/xl/worksheets/sheet6.xml" Id="Re9c21a4153cd4669" /><Relationship Type="http://schemas.openxmlformats.org/officeDocument/2006/relationships/worksheet" Target="/xl/worksheets/sheet7.xml" Id="Rcb7d29b2e1ec47f1" /><Relationship Type="http://schemas.openxmlformats.org/officeDocument/2006/relationships/worksheet" Target="/xl/worksheets/sheet8.xml" Id="Rfd4cbe4469d14275" /><Relationship Type="http://schemas.microsoft.com/office/2017/10/relationships/person" Target="/xl/persons/person.xml" Id="R070e5cdd13f3408b" /></Relationships>
</file>

<file path=xl/persons/person.xml><?xml version="1.0" encoding="utf-8"?>
<xltc:personList xmlns:xltc="http://schemas.microsoft.com/office/spreadsheetml/2018/threadedcomments">
  <xltc:person displayName="User" id="{319E0DC4-CCE0-496D-81E3-8D576974FE8F}"/>
</xltc:personList>
</file>

<file path=xl/tables/table1.xml><?xml version="1.0" encoding="utf-8"?>
<x:table xmlns:x="http://schemas.openxmlformats.org/spreadsheetml/2006/main" id="1" name="CatalogoCopys" displayName="CatalogoCopys" ref="A1:W76" headerRowCount="1" totalsRowCount="0" totalsRowShown="0">
  <x:autoFilter ref="A1:W76"/>
  <x:tableColumns count="23">
    <x:tableColumn id="1" name="Nº"/>
    <x:tableColumn id="2" name="ID"/>
    <x:tableColumn id="3" name="Autor"/>
    <x:tableColumn id="4" name="Produto"/>
    <x:tableColumn id="5" name="Duração"/>
    <x:tableColumn id="6" name="Status"/>
    <x:tableColumn id="7" name="Confiança"/>
    <x:tableColumn id="8" name="Mecanismo"/>
    <x:tableColumn id="9" name="Tipo de hook"/>
    <x:tableColumn id="10" name="Hook"/>
    <x:tableColumn id="11" name="Corpo"/>
    <x:tableColumn id="12" name="Prova/mecanismo"/>
    <x:tableColumn id="13" name="Objeção/tensão"/>
    <x:tableColumn id="14" name="Oferta"/>
    <x:tableColumn id="15" name="Tipo de CTA"/>
    <x:tableColumn id="16" name="CTA"/>
    <x:tableColumn id="17" name="Descrição"/>
    <x:tableColumn id="18" name="Hashtags"/>
    <x:tableColumn id="19" name="Fórmula adaptável"/>
    <x:tableColumn id="20" name="Risco"/>
    <x:tableColumn id="21" name="Notas"/>
    <x:tableColumn id="22" name="URL"/>
    <x:tableColumn id="23" name="Arquivo-fonte"/>
  </x:tableColumns>
  <x:tableStyleInfo name="TableStyleMedium4" showFirstColumn="0" showLastColumn="0" showRowStripes="1" showColumnStripes="0"/>
</x:table>
</file>

<file path=xl/tables/table2.xml><?xml version="1.0" encoding="utf-8"?>
<x:table xmlns:x="http://schemas.openxmlformats.org/spreadsheetml/2006/main" id="2" name="HooksTable" displayName="HooksTable" ref="A1:I76" headerRowCount="1" totalsRowCount="0" totalsRowShown="0">
  <x:autoFilter ref="A1:I76"/>
  <x:tableColumns count="9">
    <x:tableColumn id="1" name="Nº"/>
    <x:tableColumn id="2" name="ID"/>
    <x:tableColumn id="3" name="Produto"/>
    <x:tableColumn id="4" name="Tipo"/>
    <x:tableColumn id="5" name="Hook observado"/>
    <x:tableColumn id="6" name="Fórmula adaptável"/>
    <x:tableColumn id="7" name="Mecanismo"/>
    <x:tableColumn id="8" name="Confiança"/>
    <x:tableColumn id="9" name="Risco"/>
  </x:tableColumns>
  <x:tableStyleInfo name="TableStyleMedium4" showFirstColumn="0" showLastColumn="0" showRowStripes="1" showColumnStripes="0"/>
</x:table>
</file>

<file path=xl/tables/table3.xml><?xml version="1.0" encoding="utf-8"?>
<x:table xmlns:x="http://schemas.openxmlformats.org/spreadsheetml/2006/main" id="3" name="BodiesTable" displayName="BodiesTable" ref="A1:I76" headerRowCount="1" totalsRowCount="0" totalsRowShown="0">
  <x:autoFilter ref="A1:I76"/>
  <x:tableColumns count="9">
    <x:tableColumn id="1" name="Nº"/>
    <x:tableColumn id="2" name="ID"/>
    <x:tableColumn id="3" name="Produto"/>
    <x:tableColumn id="4" name="Mecanismo"/>
    <x:tableColumn id="5" name="Corpo"/>
    <x:tableColumn id="6" name="Prova"/>
    <x:tableColumn id="7" name="Objeção"/>
    <x:tableColumn id="8" name="Oferta"/>
    <x:tableColumn id="9" name="Risco"/>
  </x:tableColumns>
  <x:tableStyleInfo name="TableStyleMedium4" showFirstColumn="0" showLastColumn="0" showRowStripes="1" showColumnStripes="0"/>
</x:table>
</file>

<file path=xl/tables/table4.xml><?xml version="1.0" encoding="utf-8"?>
<x:table xmlns:x="http://schemas.openxmlformats.org/spreadsheetml/2006/main" id="4" name="CtasTable" displayName="CtasTable" ref="A1:G76" headerRowCount="1" totalsRowCount="0" totalsRowShown="0">
  <x:autoFilter ref="A1:G76"/>
  <x:tableColumns count="7">
    <x:tableColumn id="1" name="Nº"/>
    <x:tableColumn id="2" name="ID"/>
    <x:tableColumn id="3" name="Produto"/>
    <x:tableColumn id="4" name="Tipo de CTA"/>
    <x:tableColumn id="5" name="CTA observado"/>
    <x:tableColumn id="6" name="Status"/>
    <x:tableColumn id="7" name="Risco"/>
  </x:tableColumns>
  <x:tableStyleInfo name="TableStyleMedium4" showFirstColumn="0" showLastColumn="0" showRowStripes="1" showColumnStripes="0"/>
</x:table>
</file>

<file path=xl/tables/table5.xml><?xml version="1.0" encoding="utf-8"?>
<x:table xmlns:x="http://schemas.openxmlformats.org/spreadsheetml/2006/main" id="5" name="HookPlaybook" displayName="HookPlaybook" ref="A4:C16" headerRowCount="1" totalsRowCount="0" totalsRowShown="0">
  <x:autoFilter ref="A4:C16"/>
  <x:tableColumns count="3">
    <x:tableColumn id="1" name="Família de hook"/>
    <x:tableColumn id="2" name="Fórmula"/>
    <x:tableColumn id="3" name="Quando usar"/>
  </x:tableColumns>
  <x:tableStyleInfo name="TableStyleMedium4" showFirstColumn="0" showLastColumn="0" showRowStripes="1" showColumnStripes="0"/>
</x:table>
</file>

<file path=xl/tables/table6.xml><?xml version="1.0" encoding="utf-8"?>
<x:table xmlns:x="http://schemas.openxmlformats.org/spreadsheetml/2006/main" id="6" name="BodyPlaybook" displayName="BodyPlaybook" ref="A19:C29" headerRowCount="1" totalsRowCount="0" totalsRowShown="0">
  <x:autoFilter ref="A19:C29"/>
  <x:tableColumns count="3">
    <x:tableColumn id="1" name="Estrutura de corpo"/>
    <x:tableColumn id="2" name="Lógica"/>
    <x:tableColumn id="3" name="Molde"/>
  </x:tableColumns>
  <x:tableStyleInfo name="TableStyleMedium4" showFirstColumn="0" showLastColumn="0" showRowStripes="1" showColumnStripes="0"/>
</x:table>
</file>

<file path=xl/tables/table7.xml><?xml version="1.0" encoding="utf-8"?>
<x:table xmlns:x="http://schemas.openxmlformats.org/spreadsheetml/2006/main" id="7" name="CtaPlaybook" displayName="CtaPlaybook" ref="A32:B40" headerRowCount="1" totalsRowCount="0" totalsRowShown="0">
  <x:autoFilter ref="A32:B40"/>
  <x:tableColumns count="2">
    <x:tableColumn id="1" name="Tipo de CTA"/>
    <x:tableColumn id="2" name="Fórmula"/>
  </x:tableColumns>
  <x:tableStyleInfo name="TableStyleMedium4" showFirstColumn="0" showLastColumn="0" showRowStripes="1" showColumnStripes="0"/>
</x:table>
</file>

<file path=xl/tables/table8.xml><?xml version="1.0" encoding="utf-8"?>
<x:table xmlns:x="http://schemas.openxmlformats.org/spreadsheetml/2006/main" id="8" name="DurationPlaybook" displayName="DurationPlaybook" ref="A43:D47" headerRowCount="1" totalsRowCount="0" totalsRowShown="0">
  <x:autoFilter ref="A43:D47"/>
  <x:tableColumns count="4">
    <x:tableColumn id="1" name="Duração"/>
    <x:tableColumn id="2" name="Estrutura"/>
    <x:tableColumn id="3" name="Palavras"/>
    <x:tableColumn id="4" name="Indicação"/>
  </x:tableColumns>
  <x:tableStyleInfo name="TableStyleMedium4" showFirstColumn="0" showLastColumn="0" showRowStripes="1" showColumnStripes="0"/>
</x:table>
</file>

<file path=xl/tables/table9.xml><?xml version="1.0" encoding="utf-8"?>
<x:table xmlns:x="http://schemas.openxmlformats.org/spreadsheetml/2006/main" id="9" name="SourcesTable" displayName="SourcesTable" ref="A1:G76" headerRowCount="1" totalsRowCount="0" totalsRowShown="0">
  <x:autoFilter ref="A1:G76"/>
  <x:tableColumns count="7">
    <x:tableColumn id="1" name="Nº"/>
    <x:tableColumn id="2" name="ID"/>
    <x:tableColumn id="3" name="URL"/>
    <x:tableColumn id="4" name="Arquivo local"/>
    <x:tableColumn id="5" name="Status"/>
    <x:tableColumn id="6" name="Confiança"/>
    <x:tableColumn id="7" name="Nota de uso"/>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10fd5ecdc540f7" /></Relationships>
</file>

<file path=xl/worksheets/_rels/sheet3.xml.rels>&#65279;<?xml version="1.0" encoding="utf-8"?><Relationships xmlns="http://schemas.openxmlformats.org/package/2006/relationships"><Relationship Type="http://schemas.openxmlformats.org/officeDocument/2006/relationships/table" Target="/xl/tables/table2.xml" Id="Raed7cee120e445b3" /></Relationships>
</file>

<file path=xl/worksheets/_rels/sheet4.xml.rels>&#65279;<?xml version="1.0" encoding="utf-8"?><Relationships xmlns="http://schemas.openxmlformats.org/package/2006/relationships"><Relationship Type="http://schemas.openxmlformats.org/officeDocument/2006/relationships/table" Target="/xl/tables/table3.xml" Id="R2f70939091f9407a" /></Relationships>
</file>

<file path=xl/worksheets/_rels/sheet5.xml.rels>&#65279;<?xml version="1.0" encoding="utf-8"?><Relationships xmlns="http://schemas.openxmlformats.org/package/2006/relationships"><Relationship Type="http://schemas.openxmlformats.org/officeDocument/2006/relationships/table" Target="/xl/tables/table4.xml" Id="Ref4faf0ef6874465" /></Relationships>
</file>

<file path=xl/worksheets/_rels/sheet6.xml.rels>&#65279;<?xml version="1.0" encoding="utf-8"?><Relationships xmlns="http://schemas.openxmlformats.org/package/2006/relationships"><Relationship Type="http://schemas.openxmlformats.org/officeDocument/2006/relationships/table" Target="/xl/tables/table5.xml" Id="R8ba8c2922322440f" /><Relationship Type="http://schemas.openxmlformats.org/officeDocument/2006/relationships/table" Target="/xl/tables/table6.xml" Id="R30c128c3aa354626" /><Relationship Type="http://schemas.openxmlformats.org/officeDocument/2006/relationships/table" Target="/xl/tables/table7.xml" Id="Rf016469fd593491b" /><Relationship Type="http://schemas.openxmlformats.org/officeDocument/2006/relationships/table" Target="/xl/tables/table8.xml" Id="Rc1dc0b45b51847aa" /></Relationships>
</file>

<file path=xl/worksheets/_rels/sheet8.xml.rels>&#65279;<?xml version="1.0" encoding="utf-8"?><Relationships xmlns="http://schemas.openxmlformats.org/package/2006/relationships"><Relationship Type="http://schemas.openxmlformats.org/officeDocument/2006/relationships/table" Target="/xl/tables/table9.xml" Id="R3680ff116063421f"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2" hidden="0" customWidth="1"/>
    <x:col min="3" max="3" width="22" hidden="0" customWidth="1"/>
    <x:col min="4" max="4" width="38" hidden="0" customWidth="1"/>
    <x:col min="5" max="5" width="22" hidden="0" customWidth="1"/>
    <x:col min="6" max="6" width="22" hidden="0" customWidth="1"/>
    <x:col min="7" max="7" width="22" hidden="0" customWidth="1"/>
    <x:col min="8" max="8" width="22" hidden="0" customWidth="1"/>
  </x:cols>
  <x:sheetData>
    <x:row r="1">
      <x:c r="A1" s="53" t="str">
        <x:v>Biblioteca Mestra de Copys para TikTok Shop</x:v>
      </x:c>
      <x:c r="B1" s="53"/>
      <x:c r="C1" s="53"/>
      <x:c r="D1" s="53"/>
      <x:c r="E1" s="53"/>
      <x:c r="F1" s="53"/>
      <x:c r="G1" s="53"/>
      <x:c r="H1" s="53"/>
    </x:row>
    <x:row r="2">
      <x:c r="A2" s="53"/>
      <x:c r="B2" s="53"/>
      <x:c r="C2" s="53"/>
      <x:c r="D2" s="53"/>
      <x:c r="E2" s="53"/>
      <x:c r="F2" s="53"/>
      <x:c r="G2" s="53"/>
      <x:c r="H2" s="53"/>
    </x:row>
    <x:row r="3">
      <x:c r="A3" s="54" t="str">
        <x:v>Corpus local consolidado em 19/08/2026. Use os padrões e valide todas as alegações no produto real.</x:v>
      </x:c>
      <x:c r="B3" s="54"/>
      <x:c r="C3" s="54"/>
      <x:c r="D3" s="54"/>
      <x:c r="E3" s="54"/>
      <x:c r="F3" s="54"/>
      <x:c r="G3" s="54"/>
      <x:c r="H3" s="54"/>
    </x:row>
    <x:row r="4">
      <x:c r="A4" s="55"/>
      <x:c r="B4" s="55"/>
      <x:c r="C4" s="55"/>
      <x:c r="D4" s="55"/>
      <x:c r="E4" s="55"/>
      <x:c r="F4" s="55"/>
      <x:c r="G4" s="55"/>
      <x:c r="H4" s="55"/>
    </x:row>
    <x:row r="5">
      <x:c r="A5" s="13" t="str">
        <x:v>Indicador</x:v>
      </x:c>
      <x:c r="B5" s="15" t="str">
        <x:v>Valor</x:v>
      </x:c>
      <x:c r="C5" s="55"/>
      <x:c r="D5" s="13" t="str">
        <x:v>Mecanismo</x:v>
      </x:c>
      <x:c r="E5" s="15" t="str">
        <x:v>Vídeos</x:v>
      </x:c>
      <x:c r="F5" s="55"/>
      <x:c r="G5" s="55"/>
      <x:c r="H5" s="55"/>
    </x:row>
    <x:row r="6">
      <x:c r="A6" s="56" t="str">
        <x:v>Vídeos únicos</x:v>
      </x:c>
      <x:c r="B6" s="57" t="n">
        <x:f>COUNTA('Catalogo'!$B$2:$B$76)</x:f>
        <x:v>75</x:v>
      </x:c>
      <x:c r="C6" s="55"/>
      <x:c r="D6" s="58" t="str">
        <x:v>Apresentação de benefícios</x:v>
      </x:c>
      <x:c r="E6" s="59" t="n">
        <x:f>COUNTIF('Catalogo'!$H$2:$H$76,"Apresentação de benefícios")</x:f>
        <x:v>20</x:v>
      </x:c>
      <x:c r="F6" s="55"/>
      <x:c r="G6" s="55"/>
      <x:c r="H6" s="55"/>
    </x:row>
    <x:row r="7">
      <x:c r="A7" s="60" t="str">
        <x:v>Com copy falada</x:v>
      </x:c>
      <x:c r="B7" s="61" t="n">
        <x:f>COUNTIF('Catalogo'!$F$2:$F$76,"Copy falada")</x:f>
        <x:v>58</x:v>
      </x:c>
      <x:c r="C7" s="55"/>
      <x:c r="D7" s="62" t="str">
        <x:v>Depoimento pessoal</x:v>
      </x:c>
      <x:c r="E7" s="63" t="n">
        <x:f>COUNTIF('Catalogo'!$H$2:$H$76,"Depoimento pessoal")</x:f>
        <x:v>18</x:v>
      </x:c>
      <x:c r="F7" s="55"/>
      <x:c r="G7" s="55"/>
      <x:c r="H7" s="55"/>
    </x:row>
    <x:row r="8">
      <x:c r="A8" s="60" t="str">
        <x:v>Sem copy falada</x:v>
      </x:c>
      <x:c r="B8" s="61" t="n">
        <x:f>COUNTIF('Catalogo'!$F$2:$F$76,"Sem copy falada")+COUNTIF('Catalogo'!$F$2:$F$76,"Sem copy falada; texto visual estruturado")</x:f>
        <x:v>9</x:v>
      </x:c>
      <x:c r="C8" s="55"/>
      <x:c r="D8" s="62" t="str">
        <x:v>Demonstração silenciosa/texto visual</x:v>
      </x:c>
      <x:c r="E8" s="63" t="n">
        <x:f>COUNTIF('Catalogo'!$H$2:$H$76,"Demonstração silenciosa/texto visual")</x:f>
        <x:v>9</x:v>
      </x:c>
      <x:c r="F8" s="55"/>
      <x:c r="G8" s="55"/>
      <x:c r="H8" s="55"/>
    </x:row>
    <x:row r="9">
      <x:c r="A9" s="60" t="str">
        <x:v>Resumo estrutural</x:v>
      </x:c>
      <x:c r="B9" s="61" t="n">
        <x:f>COUNTIF('Catalogo'!$F$2:$F$76,"Resumo estruturado; copy literal indisponível")</x:f>
        <x:v>8</x:v>
      </x:c>
      <x:c r="C9" s="55"/>
      <x:c r="D9" s="62" t="str">
        <x:v>Oferta direta ultracurta</x:v>
      </x:c>
      <x:c r="E9" s="63" t="n">
        <x:f>COUNTIF('Catalogo'!$H$2:$H$76,"Oferta direta ultracurta")</x:f>
        <x:v>8</x:v>
      </x:c>
      <x:c r="F9" s="55"/>
      <x:c r="G9" s="55"/>
      <x:c r="H9" s="55"/>
    </x:row>
    <x:row r="10">
      <x:c r="A10" s="60" t="str">
        <x:v>Baixa confiança</x:v>
      </x:c>
      <x:c r="B10" s="61" t="n">
        <x:f>COUNTIF('Catalogo'!$G$2:$G$76,"Baixa")</x:f>
        <x:v>23</x:v>
      </x:c>
      <x:c r="C10" s="55"/>
      <x:c r="D10" s="62" t="str">
        <x:v>Dor &gt; solução</x:v>
      </x:c>
      <x:c r="E10" s="63" t="n">
        <x:f>COUNTIF('Catalogo'!$H$2:$H$76,"Dor &gt; solução")</x:f>
        <x:v>5</x:v>
      </x:c>
      <x:c r="F10" s="55"/>
      <x:c r="G10" s="55"/>
      <x:c r="H10" s="55"/>
    </x:row>
    <x:row r="11">
      <x:c r="A11" s="64" t="str">
        <x:v>Risco alto</x:v>
      </x:c>
      <x:c r="B11" s="65" t="n">
        <x:f>COUNTIF('Catalogo'!$T$2:$T$76,"Alto")</x:f>
        <x:v>5</x:v>
      </x:c>
      <x:c r="C11" s="55"/>
      <x:c r="D11" s="62" t="str">
        <x:v>Checklist técnico</x:v>
      </x:c>
      <x:c r="E11" s="63" t="n">
        <x:f>COUNTIF('Catalogo'!$H$2:$H$76,"Checklist técnico")</x:f>
        <x:v>4</x:v>
      </x:c>
      <x:c r="F11" s="55"/>
      <x:c r="G11" s="55"/>
      <x:c r="H11" s="55"/>
    </x:row>
    <x:row r="12">
      <x:c r="A12" s="55"/>
      <x:c r="B12" s="55"/>
      <x:c r="C12" s="55"/>
      <x:c r="D12" s="62" t="str">
        <x:v>Identidade/prova social</x:v>
      </x:c>
      <x:c r="E12" s="63" t="n">
        <x:f>COUNTIF('Catalogo'!$H$2:$H$76,"Identidade/prova social")</x:f>
        <x:v>4</x:v>
      </x:c>
      <x:c r="F12" s="55"/>
      <x:c r="G12" s="55"/>
      <x:c r="H12" s="55"/>
    </x:row>
    <x:row r="13">
      <x:c r="A13" s="55"/>
      <x:c r="B13" s="55"/>
      <x:c r="C13" s="55"/>
      <x:c r="D13" s="62" t="str">
        <x:v>Transformação/antes e depois</x:v>
      </x:c>
      <x:c r="E13" s="63" t="n">
        <x:f>COUNTIF('Catalogo'!$H$2:$H$76,"Transformação/antes e depois")</x:f>
        <x:v>4</x:v>
      </x:c>
      <x:c r="F13" s="55"/>
      <x:c r="G13" s="55"/>
      <x:c r="H13" s="55"/>
    </x:row>
    <x:row r="14">
      <x:c r="A14" s="66" t="str">
        <x:v>Leitura recomendada: comece pelo Playbook, filtre o Catalogo e use as abas Hooks, Corpos e CTAs para montar novas estruturas.</x:v>
      </x:c>
      <x:c r="B14" s="66"/>
      <x:c r="C14" s="66"/>
      <x:c r="D14" s="67" t="str">
        <x:v>Teste/demonstração</x:v>
      </x:c>
      <x:c r="E14" s="68" t="n">
        <x:f>COUNTIF('Catalogo'!$H$2:$H$76,"Teste/demonstração")</x:f>
        <x:v>2</x:v>
      </x:c>
      <x:c r="F14" s="66"/>
      <x:c r="G14" s="66"/>
      <x:c r="H14" s="66"/>
    </x:row>
    <x:row r="15">
      <x:c r="A15" s="55"/>
      <x:c r="B15" s="55"/>
      <x:c r="C15" s="55"/>
      <x:c r="D15" s="69" t="str">
        <x:v>Diálogo encenado + prova social</x:v>
      </x:c>
      <x:c r="E15" s="70" t="n">
        <x:f>COUNTIF('Catalogo'!$H$2:$H$76,"Diálogo encenado + prova social")</x:f>
        <x:v>1</x:v>
      </x:c>
      <x:c r="F15" s="55"/>
      <x:c r="G15" s="55"/>
      <x:c r="H15" s="55"/>
    </x:row>
  </x:sheetData>
  <x:mergeCells>
    <x:mergeCell ref="A1:H2"/>
    <x:mergeCell ref="A3:H3"/>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22" hidden="0" customWidth="1"/>
    <x:col min="4" max="4" width="28" hidden="0" customWidth="1"/>
    <x:col min="5" max="5" width="20" hidden="0" customWidth="1"/>
    <x:col min="6" max="6" width="20" hidden="0" customWidth="1"/>
    <x:col min="7" max="7" width="20" hidden="0" customWidth="1"/>
    <x:col min="8" max="8" width="20" hidden="0" customWidth="1"/>
    <x:col min="9" max="9" width="20"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12" hidden="0" customWidth="1"/>
    <x:col min="21" max="21" width="42" hidden="0" customWidth="1"/>
    <x:col min="22" max="22" width="42" hidden="0" customWidth="1"/>
    <x:col min="23" max="23" width="42" hidden="0" customWidth="1"/>
  </x:cols>
  <x:sheetData>
    <x:row r="1">
      <x:c r="A1" s="13" t="str">
        <x:v>Nº</x:v>
      </x:c>
      <x:c r="B1" s="14" t="str">
        <x:v>ID</x:v>
      </x:c>
      <x:c r="C1" s="14" t="str">
        <x:v>Autor</x:v>
      </x:c>
      <x:c r="D1" s="14" t="str">
        <x:v>Produto</x:v>
      </x:c>
      <x:c r="E1" s="14" t="str">
        <x:v>Duração</x:v>
      </x:c>
      <x:c r="F1" s="14" t="str">
        <x:v>Status</x:v>
      </x:c>
      <x:c r="G1" s="14" t="str">
        <x:v>Confiança</x:v>
      </x:c>
      <x:c r="H1" s="14" t="str">
        <x:v>Mecanismo</x:v>
      </x:c>
      <x:c r="I1" s="14" t="str">
        <x:v>Tipo de hook</x:v>
      </x:c>
      <x:c r="J1" s="14" t="str">
        <x:v>Hook</x:v>
      </x:c>
      <x:c r="K1" s="14" t="str">
        <x:v>Corpo</x:v>
      </x:c>
      <x:c r="L1" s="14" t="str">
        <x:v>Prova/mecanismo</x:v>
      </x:c>
      <x:c r="M1" s="14" t="str">
        <x:v>Objeção/tensão</x:v>
      </x:c>
      <x:c r="N1" s="14" t="str">
        <x:v>Oferta</x:v>
      </x:c>
      <x:c r="O1" s="14" t="str">
        <x:v>Tipo de CTA</x:v>
      </x:c>
      <x:c r="P1" s="14" t="str">
        <x:v>CTA</x:v>
      </x:c>
      <x:c r="Q1" s="14" t="str">
        <x:v>Descrição</x:v>
      </x:c>
      <x:c r="R1" s="14" t="str">
        <x:v>Hashtags</x:v>
      </x:c>
      <x:c r="S1" s="14" t="str">
        <x:v>Fórmula adaptável</x:v>
      </x:c>
      <x:c r="T1" s="14" t="str">
        <x:v>Risco</x:v>
      </x:c>
      <x:c r="U1" s="14" t="str">
        <x:v>Notas</x:v>
      </x:c>
      <x:c r="V1" s="14" t="str">
        <x:v>URL</x:v>
      </x:c>
      <x:c r="W1" s="15" t="str">
        <x:v>Arquivo-fonte</x:v>
      </x:c>
    </x:row>
    <x:row r="2">
      <x:c r="A2" s="16" t="n">
        <x:v>1</x:v>
      </x:c>
      <x:c r="B2" s="16" t="str">
        <x:v>​7671368504032906504</x:v>
      </x:c>
      <x:c r="C2" s="16" t="str">
        <x:v>@** @carolshopcreatoor</x:v>
      </x:c>
      <x:c r="D2" s="16" t="str">
        <x:v>Calça legging bailarina flare</x:v>
      </x:c>
      <x:c r="E2" s="16" t="str">
        <x:v>** 10 segundos</x:v>
      </x:c>
      <x:c r="F2" s="16" t="str">
        <x:v>Copy falada</x:v>
      </x:c>
      <x:c r="G2" s="16" t="str">
        <x:v>Alta</x:v>
      </x:c>
      <x:c r="H2" s="16" t="str">
        <x:v>Depoimento pessoal</x:v>
      </x:c>
      <x:c r="I2" s="16" t="str">
        <x:v>Depoimento/confissão</x:v>
      </x:c>
      <x:c r="J2" s="16" t="str">
        <x:v>Comprei essa calça bailarina no TikTok e tô muito feliz.</x:v>
      </x:c>
      <x:c r="K2" s="16" t="str">
        <x:v>Não fica transparente e é super confortável, do jeitinho que eu queria.</x:v>
      </x:c>
      <x:c r="L2" s="16" t="str">
        <x:v>Não fica transparente e é super confortável, do jeitinho que eu queria.</x:v>
      </x:c>
      <x:c r="M2" s="16" t="str">
        <x:v>Não fica transparente e é super confortável, do jeitinho que eu queria.</x:v>
      </x:c>
      <x:c r="N2" s="16" t="str"/>
      <x:c r="O2" s="16" t="str">
        <x:v>Carrinho</x:v>
      </x:c>
      <x:c r="P2" s="16" t="str">
        <x:v>Clica aqui no carrinho laranja e dá uma olhadinha.</x:v>
      </x:c>
      <x:c r="Q2" s="16" t="str"/>
      <x:c r="R2" s="16" t="str"/>
      <x:c r="S2" s="16" t="str">
        <x:v>Eu comprei [PRODUTO] sem esperar muito, mas [PROVA]. Mostre [DETALHE 1], [DETALHE 2] e [PROVA VISUAL]. Feche com um convite neutro para conferir o produto.</x:v>
      </x:c>
      <x:c r="T2" s="16" t="str">
        <x:v>Baixo</x:v>
      </x:c>
      <x:c r="U2" s="16" t="str">
        <x:v>Transcrição utilizável como referência editorial; validar alegações comerciais antes de adaptar.</x:v>
      </x:c>
      <x:c r="V2" s="16" t="str">
        <x:v>https://www.tiktok.com/@carolshopcreatoor/video/7671368504032906504</x:v>
      </x:c>
      <x:c r="W2" s="16" t="str">
        <x:v>D:\Projetos\TiktokShop\Transcricao TikTok 2026-08-08 carolshopcreatoor 7671368504032906504\01_tiktok_7671368504032906504_transcricao.md</x:v>
      </x:c>
    </x:row>
    <x:row r="3">
      <x:c r="A3" s="16" t="n">
        <x:v>2</x:v>
      </x:c>
      <x:c r="B3" s="16" t="str">
        <x:v>​7595297903053212946</x:v>
      </x:c>
      <x:c r="C3" s="16" t="str">
        <x:v>@victordx_7</x:v>
      </x:c>
      <x:c r="D3" s="16" t="str">
        <x:v>Calça legging flare</x:v>
      </x:c>
      <x:c r="E3" s="16" t="str">
        <x:v>00:10</x:v>
      </x:c>
      <x:c r="F3" s="16" t="str">
        <x:v>Sem copy falada</x:v>
      </x:c>
      <x:c r="G3" s="16" t="str">
        <x:v>N/A</x:v>
      </x:c>
      <x:c r="H3" s="16" t="str">
        <x:v>Demonstração silenciosa/texto visual</x:v>
      </x:c>
      <x:c r="I3" s="16" t="str">
        <x:v>Sem hook falado</x:v>
      </x:c>
      <x:c r="J3" s="16" t="str"/>
      <x:c r="K3" s="16" t="str"/>
      <x:c r="L3" s="16" t="str"/>
      <x:c r="M3" s="16" t="str"/>
      <x:c r="N3" s="16" t="str"/>
      <x:c r="O3" s="16" t="str">
        <x:v>Sem CTA explícito</x:v>
      </x:c>
      <x:c r="P3" s="16" t="str"/>
      <x:c r="Q3" s="16" t="str">
        <x:v>....... #fy #explore #academia #roupasfemininas</x:v>
      </x:c>
      <x:c r="R3" s="16" t="str">
        <x:v>#fy #explore #academia #roupasfemininas</x:v>
      </x:c>
      <x:c r="S3" s="16" t="str">
        <x:v>[TEXTO VISUAL CURTO] Apresente dois detalhes comprovados do produto.</x:v>
      </x:c>
      <x:c r="T3" s="16" t="str">
        <x:v>Baixo</x:v>
      </x:c>
      <x:c r="U3" s="16" t="str">
        <x:v>Não há copy falada confiável; usar somente como referência visual/textual.</x:v>
      </x:c>
      <x:c r="V3" s="16" t="str">
        <x:v>https://www.tiktok.com/@victordx_7/video/7595297903053212946</x:v>
      </x:c>
      <x:c r="W3" s="16" t="str">
        <x:v>D:\Projetos\TiktokShop\Transcricoes TikTok 2026-07-27\04_tiktok_7595297903053212946_transcricao.md</x:v>
      </x:c>
    </x:row>
    <x:row r="4">
      <x:c r="A4" s="16" t="n">
        <x:v>3</x:v>
      </x:c>
      <x:c r="B4" s="16" t="str">
        <x:v>​7609015220085869831</x:v>
      </x:c>
      <x:c r="C4" s="16" t="str">
        <x:v>@dicasdamomo</x:v>
      </x:c>
      <x:c r="D4" s="16" t="str">
        <x:v>Calça legging flare</x:v>
      </x:c>
      <x:c r="E4" s="16" t="str">
        <x:v>10 segundos</x:v>
      </x:c>
      <x:c r="F4" s="16" t="str">
        <x:v>Copy falada</x:v>
      </x:c>
      <x:c r="G4" s="16" t="str">
        <x:v>Baixa</x:v>
      </x:c>
      <x:c r="H4" s="16" t="str">
        <x:v>Apresentação de benefícios</x:v>
      </x:c>
      <x:c r="I4" s="16" t="str">
        <x:v>Declaração direta</x:v>
      </x:c>
      <x:c r="J4" s="16" t="str">
        <x:v>Get high</x:v>
      </x:c>
      <x:c r="K4" s="16" t="str"/>
      <x:c r="L4" s="16" t="str"/>
      <x:c r="M4" s="16" t="str"/>
      <x:c r="N4" s="16" t="str"/>
      <x:c r="O4" s="16" t="str">
        <x:v>Sem CTA explícito</x:v>
      </x:c>
      <x:c r="P4" s="16" t="str"/>
      <x:c r="Q4" s="16" t="str">
        <x:v>#fyp #calça #outfit #♡</x:v>
      </x:c>
      <x:c r="R4" s="16" t="str">
        <x:v>#fyp #calça #outfit</x:v>
      </x:c>
      <x:c r="S4" s="16" t="str">
        <x:v>[PRODUTO] entrega [RESULTADO OBSERVÁVEL] de um jeito simples. Apresente dois detalhes comprovados do produto.</x:v>
      </x:c>
      <x:c r="T4" s="16" t="str">
        <x:v>Baixo</x:v>
      </x:c>
      <x:c r="U4" s="16" t="str">
        <x:v>Transcrição automática com trechos possivelmente corrompidos; revisar o áudio antes de reutilizar literalmente.</x:v>
      </x:c>
      <x:c r="V4" s="16" t="str">
        <x:v>https://www.tiktok.com/@dicasdamomo/video/7609015220085869831</x:v>
      </x:c>
      <x:c r="W4" s="16" t="str">
        <x:v>D:\Projetos\TiktokShop\Transcricoes TikTok 2026-07-27\05_tiktok_7609015220085869831_transcricao.md</x:v>
      </x:c>
    </x:row>
    <x:row r="5">
      <x:c r="A5" s="16" t="n">
        <x:v>4</x:v>
      </x:c>
      <x:c r="B5" s="16" t="str">
        <x:v>​7614624337714236693</x:v>
      </x:c>
      <x:c r="C5" s="16" t="str">
        <x:v>@dicas_sah</x:v>
      </x:c>
      <x:c r="D5" s="16" t="str">
        <x:v>Calça legging flare</x:v>
      </x:c>
      <x:c r="E5" s="16" t="str">
        <x:v>43 segundos</x:v>
      </x:c>
      <x:c r="F5" s="16" t="str">
        <x:v>Copy falada</x:v>
      </x:c>
      <x:c r="G5" s="16" t="str">
        <x:v>Baixa</x:v>
      </x:c>
      <x:c r="H5" s="16" t="str">
        <x:v>Depoimento pessoal</x:v>
      </x:c>
      <x:c r="I5" s="16" t="str">
        <x:v>Depoimento/confissão</x:v>
      </x:c>
      <x:c r="J5" s="16" t="str">
        <x:v>Eu tive a mesma reação quando eu comprei essa calça, que perfeita.</x:v>
      </x:c>
      <x:c r="K5" s="16" t="str">
        <x:v>A gente viu que surpreendeu todas as minhas expectativas, porque eu paia 30 reais nela. E eu nunca imaginei que ia chegar a uma qualidade dessa. Gente, ela é bem grossa. Ela tem bastante compressão aqui na baliga e o melhor de tudo é que ela não divide aqui na frente. Não a jato vongou também, eu nem salto tanto que ela valoriza. E vai super bem, entando com o look para treinar quanto o look para sair. Coloco um ternizinho bramo, gente, isso aqui fica lindo. Eu vi várias meninas com calça-flare na carendia e eu fiquei louquecida. Porque eu vi que tá todo mundo postando calça-flare, eu fiquei assim, um bloco era ele. Peguei no tamanho ok. E eu tenho 54 kios e o 64 de altura. E olha, eu perfei os anos aqui.</x:v>
      </x:c>
      <x:c r="L5" s="16" t="str">
        <x:v>E olha, eu perfei os anos aqui.</x:v>
      </x:c>
      <x:c r="M5" s="16" t="str"/>
      <x:c r="N5" s="16" t="str">
        <x:v>A gente viu que surpreendeu todas as minhas expectativas, porque eu paia 30 reais nela. Não a jato vongou também, eu nem salto tanto que ela valoriza. E tenho outras opções de cores também, eu vou deixar nem esse carinhão de eu comprei por 30 reais.</x:v>
      </x:c>
      <x:c r="O5" s="16" t="str">
        <x:v>Recomendação/compra</x:v>
      </x:c>
      <x:c r="P5" s="16" t="str">
        <x:v>E tenho outras opções de cores também, eu vou deixar nem esse carinhão de eu comprei por 30 reais.</x:v>
      </x:c>
      <x:c r="Q5" s="16" t="str">
        <x:v>Respondendo a @Ana #modafitness #roupadeacademia #leggings #lookdodia #calcaflare</x:v>
      </x:c>
      <x:c r="R5" s="16" t="str">
        <x:v>#modafitness #roupadeacademia #leggings #lookdodia #calcaflare</x:v>
      </x:c>
      <x:c r="S5" s="16" t="str">
        <x:v>Eu comprei [PRODUTO] sem esperar muito, mas [PROVA]. Mostre [DETALHE 1], [DETALHE 2] e [PROVA VISUAL]. Feche com um convite neutro para conferir o produto.</x:v>
      </x:c>
      <x:c r="T5" s="16" t="str">
        <x:v>Moderado</x:v>
      </x:c>
      <x:c r="U5" s="16" t="str">
        <x:v>Transcrição automática com trechos possivelmente corrompidos; revisar o áudio antes de reutilizar literalmente.</x:v>
      </x:c>
      <x:c r="V5" s="16" t="str">
        <x:v>https://www.tiktok.com/@dicas_sah/video/7614624337714236693</x:v>
      </x:c>
      <x:c r="W5" s="16" t="str">
        <x:v>D:\Projetos\TiktokShop\Transcricoes TikTok 2026-07-27\12_tiktok_7614624337714236693_transcricao.md</x:v>
      </x:c>
    </x:row>
    <x:row r="6">
      <x:c r="A6" s="16" t="n">
        <x:v>5</x:v>
      </x:c>
      <x:c r="B6" s="16" t="str">
        <x:v>​7619890258913627412</x:v>
      </x:c>
      <x:c r="C6" s="16" t="str">
        <x:v>@isa_deconto</x:v>
      </x:c>
      <x:c r="D6" s="16" t="str">
        <x:v>Calça legging flare</x:v>
      </x:c>
      <x:c r="E6" s="16" t="str">
        <x:v>35 segundos</x:v>
      </x:c>
      <x:c r="F6" s="16" t="str">
        <x:v>Copy falada</x:v>
      </x:c>
      <x:c r="G6" s="16" t="str">
        <x:v>Baixa</x:v>
      </x:c>
      <x:c r="H6" s="16" t="str">
        <x:v>Apresentação de benefícios</x:v>
      </x:c>
      <x:c r="I6" s="16" t="str">
        <x:v>Pergunta/dor</x:v>
      </x:c>
      <x:c r="J6" s="16" t="str">
        <x:v>O gente pelo amor de Deus, uma flair, é uma flair, né?</x:v>
      </x:c>
      <x:c r="K6" s="16" t="str">
        <x:v>Olha isso, ela é peluciada por dentro e gente foi menos de 40 reais. Assim, sinceramente, incrédula com essas coisas, tá? Porque ela modela muito corpo e ela é bem grossinha. Ela tem malta compressão aqui na região da Pocheche e assim, amigas, que calça mais maravilhosa. Se eu realmente pensei que ela fosse ruim até chegar na minha casa, tá? Porque, gente, o que vocês esperam de uma lei, menos de 40 reais? Vocês esperam a calça ruim? Inclusive, eu até recomendo você pegar em um tamanho maior do que vocês normalmente usam, porque como ela é bem grossinha, ela fica mais justinha.</x:v>
      </x:c>
      <x:c r="L6" s="16" t="str">
        <x:v>Olha isso, ela é peluciada por dentro e gente foi menos de 40 reais.</x:v>
      </x:c>
      <x:c r="M6" s="16" t="str">
        <x:v>Se eu realmente pensei que ela fosse ruim até chegar na minha casa, tá?</x:v>
      </x:c>
      <x:c r="N6" s="16" t="str">
        <x:v>Olha isso, ela é peluciada por dentro e gente foi menos de 40 reais. Porque, gente, o que vocês esperam de uma lei, menos de 40 reais?</x:v>
      </x:c>
      <x:c r="O6" s="16" t="str">
        <x:v>Link</x:v>
      </x:c>
      <x:c r="P6" s="16" t="str">
        <x:v>Eu vou deixar o link dela para vocês aqui no meu canelaranje.</x:v>
      </x:c>
      <x:c r="Q6" s="16" t="str">
        <x:v>🙇🏻‍♀️🙇🏻‍♀️🙇🏻‍♀️acho a coisa mais linda #flare #legging</x:v>
      </x:c>
      <x:c r="R6" s="16" t="str">
        <x:v>#flare #legging</x:v>
      </x:c>
      <x:c r="S6" s="16" t="str">
        <x:v>Você também sofre com [DOR]? Olha o que eu encontrei. Mostre [DETALHE 1], [DETALHE 2] e [PROVA VISUAL]. Feche com um convite neutro para conferir o produto.</x:v>
      </x:c>
      <x:c r="T6" s="16" t="str">
        <x:v>Moderado</x:v>
      </x:c>
      <x:c r="U6" s="16" t="str">
        <x:v>Transcrição automática com trechos possivelmente corrompidos; revisar o áudio antes de reutilizar literalmente.</x:v>
      </x:c>
      <x:c r="V6" s="16" t="str">
        <x:v>https://www.tiktok.com/@isa_deconto/video/7619890258913627412</x:v>
      </x:c>
      <x:c r="W6" s="16" t="str">
        <x:v>D:\Projetos\TiktokShop\Transcricoes TikTok 2026-07-27\14_tiktok_7619890258913627412_transcricao.md</x:v>
      </x:c>
    </x:row>
    <x:row r="7">
      <x:c r="A7" s="16" t="n">
        <x:v>6</x:v>
      </x:c>
      <x:c r="B7" s="16" t="str">
        <x:v>​7624126799483637000</x:v>
      </x:c>
      <x:c r="C7" s="16" t="str">
        <x:v>@dudascaglioneugc</x:v>
      </x:c>
      <x:c r="D7" s="16" t="str">
        <x:v>Calça legging flare</x:v>
      </x:c>
      <x:c r="E7" s="16" t="str">
        <x:v>70 segundos</x:v>
      </x:c>
      <x:c r="F7" s="16" t="str">
        <x:v>Copy falada</x:v>
      </x:c>
      <x:c r="G7" s="16" t="str">
        <x:v>Baixa</x:v>
      </x:c>
      <x:c r="H7" s="16" t="str">
        <x:v>Apresentação de benefícios</x:v>
      </x:c>
      <x:c r="I7" s="16" t="str">
        <x:v>Pergunta/dor</x:v>
      </x:c>
      <x:c r="J7" s="16" t="str">
        <x:v>Uma flair é uma flair, né gente? Olha que calça maravilhosa e ainda por dentro aqui ó, ela tem esse</x:v>
      </x:c>
      <x:c r="K7" s="16" t="str">
        <x:v>flaneladinho que agora no Inverno, isso aqui vai ser maravilhoso pra ir trabalhar, tá? E o tanto que essa calça vestem bem mulher, olha isso, olha que surreal, por isso que eu já peguei nessas outras duas cores porque eu uso tanto que daqui a pouco ela vai sair andando sozinha é o amo porque ela tem uma barra ao flair longa e bem larga, não é aquelas flares muito curta, muito justa, sabe? E o cos, esse cos que sobe bastante esconde essa região, se dar uma desenhada no nosso corpo que eu fico passada, sério, é aquela calça curinga que serve para todas as ocasiões e zero transferência, tá? Então pode ficar tranquila na hora de fazer o seu gotada aqui no TikTok, algumas cores e alguns tamanhos se tiver o seu, galerva, tá? Para você não ficar</x:v>
      </x:c>
      <x:c r="L7" s="16" t="str">
        <x:v>E o tanto que essa calça vestem bem mulher, olha isso, olha que surreal, por isso que eu já peguei nessas outras duas cores porque eu uso tanto que daqui a pouco ela vai sair andando sozinha gotada aqui no TikTok, algumas cores e alguns tamanhos se tiver o seu, galerva, tá? Para você não ficar</x:v>
      </x:c>
      <x:c r="M7" s="16" t="str"/>
      <x:c r="N7" s="16" t="str"/>
      <x:c r="O7" s="16" t="str">
        <x:v>Carrinho</x:v>
      </x:c>
      <x:c r="P7" s="16" t="str">
        <x:v>agachamento se você for usar para treinar, já clica aqui nesse carrinho laranja porque vives</x:v>
      </x:c>
      <x:c r="Q7" s="16" t="str">
        <x:v>A calça que jaja sai andando sozinha é essa, perfeitaaa para todos os momentos 🫶🏽🤌🏽 #calcaflare #calcaleggingflare #leggingflare #calcafeminina #comprinhastiktokshop</x:v>
      </x:c>
      <x:c r="R7" s="16" t="str">
        <x:v>#calcaflare #calcaleggingflare #leggingflare #calcafeminina #comprinhastiktokshop</x:v>
      </x:c>
      <x:c r="S7" s="16" t="str">
        <x:v>Você também sofre com [DOR]? Olha o que eu encontrei. Mostre [DETALHE 1], [DETALHE 2] e [PROVA VISUAL]. Feche com um convite neutro para conferir o produto.</x:v>
      </x:c>
      <x:c r="T7" s="16" t="str">
        <x:v>Baixo</x:v>
      </x:c>
      <x:c r="U7" s="16" t="str">
        <x:v>Transcrição automática com trechos possivelmente corrompidos; revisar o áudio antes de reutilizar literalmente.</x:v>
      </x:c>
      <x:c r="V7" s="16" t="str">
        <x:v>https://www.tiktok.com/@dudascaglioneugc/video/7624126799483637000</x:v>
      </x:c>
      <x:c r="W7" s="16" t="str">
        <x:v>D:\Projetos\TiktokShop\Transcricoes TikTok 2026-07-27\10_tiktok_7624126799483637000_transcricao.md</x:v>
      </x:c>
    </x:row>
    <x:row r="8">
      <x:c r="A8" s="16" t="n">
        <x:v>7</x:v>
      </x:c>
      <x:c r="B8" s="16" t="str">
        <x:v>​7635842588691483912</x:v>
      </x:c>
      <x:c r="C8" s="16" t="str">
        <x:v>@dibagi_</x:v>
      </x:c>
      <x:c r="D8" s="16" t="str">
        <x:v>Calça legging flare</x:v>
      </x:c>
      <x:c r="E8" s="16" t="str">
        <x:v>32 segundos</x:v>
      </x:c>
      <x:c r="F8" s="16" t="str">
        <x:v>Copy falada</x:v>
      </x:c>
      <x:c r="G8" s="16" t="str">
        <x:v>Baixa</x:v>
      </x:c>
      <x:c r="H8" s="16" t="str">
        <x:v>Depoimento pessoal</x:v>
      </x:c>
      <x:c r="I8" s="16" t="str">
        <x:v>Depoimento/confissão</x:v>
      </x:c>
      <x:c r="J8" s="16" t="str">
        <x:v>Agora eu entendi porque as grigas só usam calça a leg in flare, gente, olha como cada</x:v>
      </x:c>
      <x:c r="K8" s="16" t="str">
        <x:v>chucorpo perfeito, essa daqui ainda ela é peluciada e a interinha calça inteira por dentro, então no iverno vai ser perfeito, olha como calma dela, muito bem aqui o corpo, estava se tiver mais barato, gente, apra veita, porque ela é simplesmente impecável, eu não fica dividindo aqui na frente, atrás muda ela muito bem aqui, ó, bumbum, olha como deixa o bumbum perfeito, e não é transparente por conta da pelucia aqui no bumbum, mas a gente impecável olha a qualidade absurda.</x:v>
      </x:c>
      <x:c r="L8" s="16" t="str">
        <x:v>então no iverno vai ser perfeito, olha como calma dela, muito bem aqui o corpo, estava fica dividindo aqui na frente, atrás muda ela muito bem aqui, ó, bumbum, olha como a gente impecável olha a qualidade absurda.</x:v>
      </x:c>
      <x:c r="M8" s="16" t="str">
        <x:v>se tiver mais barato, gente, apra veita, porque ela é simplesmente impecável, eu não deixa o bumbum perfeito, e não é transparente por conta da pelucia aqui no bumbum, mas</x:v>
      </x:c>
      <x:c r="N8" s="16" t="str">
        <x:v>mais de 50 reais, vou por o carrinho aqui pra vocês ver de conta, saindo pra vocês, porque se tiver mais barato, gente, apra veita, porque ela é simplesmente impecável, eu não</x:v>
      </x:c>
      <x:c r="O8" s="16" t="str">
        <x:v>Carrinho</x:v>
      </x:c>
      <x:c r="P8" s="16" t="str">
        <x:v>mais de 50 reais, vou por o carrinho aqui pra vocês ver de conta, saindo pra vocês, porque</x:v>
      </x:c>
      <x:c r="Q8" s="16" t="str">
        <x:v>TikTok video #7635842588691483912</x:v>
      </x:c>
      <x:c r="R8" s="16" t="str">
        <x:v>#7635842588691483912</x:v>
      </x:c>
      <x:c r="S8" s="16" t="str">
        <x:v>Eu comprei [PRODUTO] sem esperar muito, mas [PROVA]. Mostre [DETALHE 1], [DETALHE 2] e [PROVA VISUAL]. Feche com um convite neutro para conferir o produto.</x:v>
      </x:c>
      <x:c r="T8" s="16" t="str">
        <x:v>Moderado</x:v>
      </x:c>
      <x:c r="U8" s="16" t="str">
        <x:v>Transcrição automática com trechos possivelmente corrompidos; revisar o áudio antes de reutilizar literalmente.</x:v>
      </x:c>
      <x:c r="V8" s="16" t="str">
        <x:v>https://www.tiktok.com/@dibagi_/video/7635842588691483912</x:v>
      </x:c>
      <x:c r="W8" s="16" t="str">
        <x:v>D:\Projetos\TiktokShop\Transcricoes TikTok 2026-07-27\06_tiktok_7635842588691483912_transcricao.md</x:v>
      </x:c>
    </x:row>
    <x:row r="9">
      <x:c r="A9" s="16" t="n">
        <x:v>8</x:v>
      </x:c>
      <x:c r="B9" s="16" t="str">
        <x:v>​7636849394784013575</x:v>
      </x:c>
      <x:c r="C9" s="16" t="str">
        <x:v>@dibagi_</x:v>
      </x:c>
      <x:c r="D9" s="16" t="str">
        <x:v>Calça legging flare</x:v>
      </x:c>
      <x:c r="E9" s="16" t="str">
        <x:v>00:26</x:v>
      </x:c>
      <x:c r="F9" s="16" t="str">
        <x:v>Copy falada</x:v>
      </x:c>
      <x:c r="G9" s="16" t="str">
        <x:v>Baixa</x:v>
      </x:c>
      <x:c r="H9" s="16" t="str">
        <x:v>Apresentação de benefícios</x:v>
      </x:c>
      <x:c r="I9" s="16" t="str">
        <x:v>Preço/choque</x:v>
      </x:c>
      <x:c r="J9" s="16" t="str">
        <x:v>Quem conseguiu pegar essa calça por menos de 40 apila ficou no logo,</x:v>
      </x:c>
      <x:c r="K9" s="16" t="str">
        <x:v>porque claro que faz como o melhor de tudo, é que ela é toda peluciada aqui por dentro, para usar no inverno, gente, vai ser perfeita. Agora que eu fui entender, porque as lindas só usam calça com esse modelo new aqui, porque eu deixo o corpo muito perfeita. Ela não fica dividindo aqui na frente, nem quando puxa, atrás deixou bom bom, muito perfeita. e toda ação perfeita, gente. Eu paguei muito barato, e mesmo que subiu o preço, vale muito a pena.</x:v>
      </x:c>
      <x:c r="L9" s="16" t="str">
        <x:v>Ela não fica dividindo aqui na frente, nem quando puxa,</x:v>
      </x:c>
      <x:c r="M9" s="16" t="str">
        <x:v>Eu paguei muito barato, e mesmo que subiu o preço, vale muito a pena.</x:v>
      </x:c>
      <x:c r="N9" s="16" t="str">
        <x:v>Quem conseguiu pegar essa calça por menos de 40 apila ficou no logo, Eu paguei muito barato, e mesmo que subiu o preço, vale muito a pena.</x:v>
      </x:c>
      <x:c r="O9" s="16" t="str">
        <x:v>Link</x:v>
      </x:c>
      <x:c r="P9" s="16" t="str">
        <x:v>Vou por aqui o link, porque tem muitas coisas mais</x:v>
      </x:c>
      <x:c r="Q9" s="16" t="str">
        <x:v>TikTok video #7636849394784013575</x:v>
      </x:c>
      <x:c r="R9" s="16" t="str">
        <x:v>#7636849394784013575</x:v>
      </x:c>
      <x:c r="S9" s="16" t="str">
        <x:v>[QUANTIDADE/PRODUTO] por [PREÇO]? Eu achei que era pegadinha. Mostre [DETALHE 1], [DETALHE 2] e [PROVA VISUAL]. Feche com um convite neutro para conferir o produto.</x:v>
      </x:c>
      <x:c r="T9" s="16" t="str">
        <x:v>Baixo</x:v>
      </x:c>
      <x:c r="U9" s="16" t="str">
        <x:v>Transcrição automática com trechos possivelmente corrompidos; revisar o áudio antes de reutilizar literalmente.</x:v>
      </x:c>
      <x:c r="V9" s="16" t="str">
        <x:v>https://www.tiktok.com/@dibagi_/video/7636849394784013575</x:v>
      </x:c>
      <x:c r="W9" s="16" t="str">
        <x:v>D:\Projetos\TiktokShop\Transcricoes TikTok 2026-07-27\07_tiktok_7636849394784013575_transcricao.md</x:v>
      </x:c>
    </x:row>
    <x:row r="10">
      <x:c r="A10" s="16" t="n">
        <x:v>9</x:v>
      </x:c>
      <x:c r="B10" s="16" t="str">
        <x:v>​7638721302446083336</x:v>
      </x:c>
      <x:c r="C10" s="16" t="str">
        <x:v>@dibagi_</x:v>
      </x:c>
      <x:c r="D10" s="16" t="str">
        <x:v>Calça legging flare</x:v>
      </x:c>
      <x:c r="E10" s="16" t="str">
        <x:v>00:22</x:v>
      </x:c>
      <x:c r="F10" s="16" t="str">
        <x:v>Copy falada</x:v>
      </x:c>
      <x:c r="G10" s="16" t="str">
        <x:v>Baixa</x:v>
      </x:c>
      <x:c r="H10" s="16" t="str">
        <x:v>Apresentação de benefícios</x:v>
      </x:c>
      <x:c r="I10" s="16" t="str">
        <x:v>Preço/choque</x:v>
      </x:c>
      <x:c r="J10" s="16" t="str">
        <x:v>Quem conseguiu pegar essa calça por menos de 40 pilas ficou no lucro, porque olha o que ela faz com bumbum.</x:v>
      </x:c>
      <x:c r="K10" s="16" t="str">
        <x:v>Além de tudo, ela é peluciada aqui por dentro, para usar no inverno, a gente vai ser perfeita. Com certeza, eu vou evitar a minha calça para a academia de sair e vou cadê para o cara com ela, porque ela é com cada chucor por perfeito. Não fica dividindo aqui nem quando puxa, o modelagem maravilhosa, o modelo é muito bem aqui, o bumbum.</x:v>
      </x:c>
      <x:c r="L10" s="16" t="str">
        <x:v>Não fica dividindo aqui nem quando puxa, o modelagem maravilhosa, o modelo é muito bem aqui, o bumbum.</x:v>
      </x:c>
      <x:c r="M10" s="16" t="str"/>
      <x:c r="N10" s="16" t="str">
        <x:v>Quem conseguiu pegar essa calça por menos de 40 pilas ficou no lucro, porque olha o que ela faz com bumbum. Pô, por o carinho aqui, dá uma olhadinha essa na promoção ainda, porque não tava mais, mas se tiver, a gente compensa muito.</x:v>
      </x:c>
      <x:c r="O10" s="16" t="str">
        <x:v>Urgência condicional</x:v>
      </x:c>
      <x:c r="P10" s="16" t="str">
        <x:v>Pô, por o carinho aqui, dá uma olhadinha essa na promoção ainda, porque não tava mais, mas se tiver, a gente compensa muito.</x:v>
      </x:c>
      <x:c r="Q10" s="16" t="str">
        <x:v>TikTok video #7638721302446083336</x:v>
      </x:c>
      <x:c r="R10" s="16" t="str">
        <x:v>#7638721302446083336</x:v>
      </x:c>
      <x:c r="S10" s="16" t="str">
        <x:v>[QUANTIDADE/PRODUTO] por [PREÇO]? Eu achei que era pegadinha. Mostre [DETALHE 1], [DETALHE 2] e [PROVA VISUAL]. Feche com um convite neutro para conferir o produto.</x:v>
      </x:c>
      <x:c r="T10" s="16" t="str">
        <x:v>Moderado</x:v>
      </x:c>
      <x:c r="U10" s="16" t="str">
        <x:v>Transcrição automática com trechos possivelmente corrompidos; revisar o áudio antes de reutilizar literalmente.</x:v>
      </x:c>
      <x:c r="V10" s="16" t="str">
        <x:v>https://www.tiktok.com/@dibagi_/video/7638721302446083336</x:v>
      </x:c>
      <x:c r="W10" s="16" t="str">
        <x:v>D:\Projetos\TiktokShop\Transcricoes TikTok 2026-07-27\02_tiktok_7638721302446083336_transcricao.md</x:v>
      </x:c>
    </x:row>
    <x:row r="11">
      <x:c r="A11" s="16" t="n">
        <x:v>10</x:v>
      </x:c>
      <x:c r="B11" s="16" t="str">
        <x:v>​7639488015479377173</x:v>
      </x:c>
      <x:c r="C11" s="16" t="str">
        <x:v>@letrends1</x:v>
      </x:c>
      <x:c r="D11" s="16" t="str">
        <x:v>Calça legging flare</x:v>
      </x:c>
      <x:c r="E11" s="16" t="str">
        <x:v>31 segundos</x:v>
      </x:c>
      <x:c r="F11" s="16" t="str">
        <x:v>Copy falada</x:v>
      </x:c>
      <x:c r="G11" s="16" t="str">
        <x:v>Baixa</x:v>
      </x:c>
      <x:c r="H11" s="16" t="str">
        <x:v>Apresentação de benefícios</x:v>
      </x:c>
      <x:c r="I11" s="16" t="str">
        <x:v>Preço/choque</x:v>
      </x:c>
      <x:c r="J11" s="16" t="str">
        <x:v>Uma Flair é uma Flair, ela é zero transparência, não divide essa região e ainda valoriza.</x:v>
      </x:c>
      <x:c r="K11" s="16" t="str">
        <x:v>Ela é super descreta, muito versátil. Eu comprei ela em testão de malhar, mas eu combino ela praticamente com todos os looks. E olha isso, zero transparência. Ela ainda continua na promoção, seu nome enganada está saindo por menos de 35 reais,</x:v>
      </x:c>
      <x:c r="L11" s="16" t="str">
        <x:v>Ela é super descreta, muito versátil. Eu comprei ela em testão de malhar, mas eu combino ela praticamente com todos os looks. E olha isso, zero transparência. Ela ainda continua na promoção, seu nome enganada está saindo por menos de 35 reais,</x:v>
      </x:c>
      <x:c r="M11" s="16" t="str">
        <x:v>Uma Flair é uma Flair, ela é zero transparência, não divide essa região e ainda valoriza. E olha isso, zero transparência. Ela ainda continua na promoção, seu nome enganada está saindo por menos de 35 reais,</x:v>
      </x:c>
      <x:c r="N11" s="16" t="str">
        <x:v>Uma Flair é uma Flair, ela é zero transparência, não divide essa região e ainda valoriza. E olha isso, zero transparência. Ela ainda continua na promoção, seu nome enganada está saindo por menos de 35 reais, uma qualidade impecável e um preço absurdo. Vai estar disponível no carrinho anjo, que foi onde eu comprei simplesmente perfeita.</x:v>
      </x:c>
      <x:c r="O11" s="16" t="str">
        <x:v>Carrinho</x:v>
      </x:c>
      <x:c r="P11" s="16" t="str">
        <x:v>Super cintura alta, o cor dela é duplo, tem bastante compreção, não fica dividindo nessa região. uma qualidade impecável e um preço absurdo. Vai estar disponível no carrinho anjo, que foi onde eu comprei simplesmente perfeita.</x:v>
      </x:c>
      <x:c r="Q11" s="16" t="str">
        <x:v>Calça flare legging</x:v>
      </x:c>
      <x:c r="R11" s="16" t="str"/>
      <x:c r="S11" s="16" t="str">
        <x:v>[QUANTIDADE/PRODUTO] por [PREÇO]? Eu achei que era pegadinha. Mostre [DETALHE 1], [DETALHE 2] e [PROVA VISUAL]. Feche com um convite neutro para conferir o produto.</x:v>
      </x:c>
      <x:c r="T11" s="16" t="str">
        <x:v>Moderado</x:v>
      </x:c>
      <x:c r="U11" s="16" t="str">
        <x:v>Transcrição automática com trechos possivelmente corrompidos; revisar o áudio antes de reutilizar literalmente.</x:v>
      </x:c>
      <x:c r="V11" s="16" t="str">
        <x:v>https://www.tiktok.com/@letrends1/video/7639488015479377173</x:v>
      </x:c>
      <x:c r="W11" s="16" t="str">
        <x:v>D:\Projetos\TiktokShop\Transcricoes TikTok 2026-07-27\08_tiktok_7639488015479377173_transcricao.md</x:v>
      </x:c>
    </x:row>
    <x:row r="12">
      <x:c r="A12" s="16" t="n">
        <x:v>11</x:v>
      </x:c>
      <x:c r="B12" s="16" t="str">
        <x:v>​7639532780979801362</x:v>
      </x:c>
      <x:c r="C12" s="16" t="str">
        <x:v>@dibagi_</x:v>
      </x:c>
      <x:c r="D12" s="16" t="str">
        <x:v>Calça legging flare</x:v>
      </x:c>
      <x:c r="E12" s="16" t="str">
        <x:v>26 segundos</x:v>
      </x:c>
      <x:c r="F12" s="16" t="str">
        <x:v>Copy falada</x:v>
      </x:c>
      <x:c r="G12" s="16" t="str">
        <x:v>Baixa</x:v>
      </x:c>
      <x:c r="H12" s="16" t="str">
        <x:v>Depoimento pessoal</x:v>
      </x:c>
      <x:c r="I12" s="16" t="str">
        <x:v>Preço/choque</x:v>
      </x:c>
      <x:c r="J12" s="16" t="str">
        <x:v>Eu tinha certeza que essa calça que ia subir o preço a qualquer momento.</x:v>
      </x:c>
      <x:c r="K12" s="16" t="str">
        <x:v>Ela é perosseada aqui por dentro, no Inverno vai ficar simplesmente muito boa. E gente, olha como que ela veste perfeitamente bem. Eu estou em choque com essa qualidade, porque eu paguei menos de 40 reais. Estava mais de 60, não sei se está na promoção ainda. Ela é sentida altíssima, não fica dividindo aqui nem quando puxa. E veste perfeitamente bem. a amiga A, pra ver, tem porque é bizarro de bonito.</x:v>
      </x:c>
      <x:c r="L12" s="16" t="str">
        <x:v>E gente, olha como que ela veste perfeitamente bem. Ela é sentida altíssima, não fica dividindo aqui nem quando puxa. E veste perfeitamente bem.</x:v>
      </x:c>
      <x:c r="M12" s="16" t="str"/>
      <x:c r="N12" s="16" t="str">
        <x:v>Eu estou em choque com essa qualidade, porque eu paguei menos de 40 reais. Estava mais de 60, não sei se está na promoção ainda. Então jovem, no seu carrinho, o meu valor que está aí, porque se tiver por menos de 40,</x:v>
      </x:c>
      <x:c r="O12" s="16" t="str">
        <x:v>Carrinho</x:v>
      </x:c>
      <x:c r="P12" s="16" t="str">
        <x:v>Vou por o carrinho aqui pra quem quiser. Então jovem, no seu carrinho, o meu valor que está aí, porque se tiver por menos de 40,</x:v>
      </x:c>
      <x:c r="Q12" s="16" t="str">
        <x:v>TikTok video #7639532780979801362</x:v>
      </x:c>
      <x:c r="R12" s="16" t="str">
        <x:v>#7639532780979801362</x:v>
      </x:c>
      <x:c r="S12" s="16" t="str">
        <x:v>[QUANTIDADE/PRODUTO] por [PREÇO]? Eu achei que era pegadinha. Mostre [DETALHE 1], [DETALHE 2] e [PROVA VISUAL]. Feche com um convite neutro para conferir o produto.</x:v>
      </x:c>
      <x:c r="T12" s="16" t="str">
        <x:v>Moderado</x:v>
      </x:c>
      <x:c r="U12" s="16" t="str">
        <x:v>Transcrição automática com trechos possivelmente corrompidos; revisar o áudio antes de reutilizar literalmente.</x:v>
      </x:c>
      <x:c r="V12" s="16" t="str">
        <x:v>https://www.tiktok.com/@dibagi_/video/7639532780979801362</x:v>
      </x:c>
      <x:c r="W12" s="16" t="str">
        <x:v>D:\Projetos\TiktokShop\Transcricoes TikTok 2026-07-27\09_tiktok_7639532780979801362_transcricao.md</x:v>
      </x:c>
    </x:row>
    <x:row r="13">
      <x:c r="A13" s="16" t="n">
        <x:v>12</x:v>
      </x:c>
      <x:c r="B13" s="16" t="str">
        <x:v>​7646044465316187412</x:v>
      </x:c>
      <x:c r="C13" s="16" t="str">
        <x:v>@achadinhos_ju5</x:v>
      </x:c>
      <x:c r="D13" s="16" t="str">
        <x:v>Calça legging flare</x:v>
      </x:c>
      <x:c r="E13" s="16" t="str">
        <x:v>66 segundos</x:v>
      </x:c>
      <x:c r="F13" s="16" t="str">
        <x:v>Copy falada</x:v>
      </x:c>
      <x:c r="G13" s="16" t="str">
        <x:v>Baixa</x:v>
      </x:c>
      <x:c r="H13" s="16" t="str">
        <x:v>Identidade/prova social</x:v>
      </x:c>
      <x:c r="I13" s="16" t="str">
        <x:v>Trend/prova social</x:v>
      </x:c>
      <x:c r="J13" s="16" t="str">
        <x:v>Não é a novidade, por ninguém que os anos 2000 estão super de volta na boca do povo e todo mundo que aparece com as divas anos 2000</x:v>
      </x:c>
      <x:c r="K13" s="16" t="str">
        <x:v>E eu não sou diferente E aí gente, eu achei a melhor calça desse TikTok Shop inteiro, baraté, rima e que passa Uma vibe dos anos 2000, gente, olha isso aqui Olha isso aqui, a calça, ela não é de cintura baixa, mas dá pra você, eu vou mostrar pra vocês Dá pra vocês todos a gente dobrar ela e aí ela fica de cintura baixo Parece que ela foi feita pra isso, olha aqui Dá pra você dobrar Ela é maravilhosa, baraté, rima, paguei menos de 40 reais, tá gente? E o meu Fred foi gratis, olha isso aqui, olha isso aqui Ela é acolchada por dentro, tá vendo isso aqui, no inverno? Não perde a oportunidade pra você não ficar de fora dessa vibe dos anos 2000 Diva, icônica, babadeira, tá?</x:v>
      </x:c>
      <x:c r="L13" s="16" t="str">
        <x:v>Uma vibe dos anos 2000, gente, olha isso aqui Olha isso aqui, a calça, ela não é de cintura baixa, mas dá pra você, eu vou mostrar pra vocês Parece que ela foi feita pra isso, olha aqui</x:v>
      </x:c>
      <x:c r="M13" s="16" t="str">
        <x:v>E aí gente, eu achei a melhor calça desse TikTok Shop inteiro, baraté, rima e que passa Aí eu achei outro link, então eu vou deixar o link pra vocês</x:v>
      </x:c>
      <x:c r="N13" s="16" t="str">
        <x:v>E aí gente, eu achei a melhor calça desse TikTok Shop inteiro, baraté, rima e que passa Ela é maravilhosa, baraté, rima, paguei menos de 40 reais, tá gente? Perfeita, então a amiga não perde seu tempo porque eu comprei e já tinha esgotado</x:v>
      </x:c>
      <x:c r="O13" s="16" t="str">
        <x:v>Urgência condicional</x:v>
      </x:c>
      <x:c r="P13" s="16" t="str">
        <x:v>Perfeita, então a amiga não perde seu tempo porque eu comprei e já tinha esgotado Aí eu achei outro link, então eu vou deixar o link pra vocês Já pode comprar de confiança, é boa</x:v>
      </x:c>
      <x:c r="Q13" s="16" t="str">
        <x:v>Calça flare anos 2000 #vira #flare #calça #tiktokshop</x:v>
      </x:c>
      <x:c r="R13" s="16" t="str">
        <x:v>#vira #flare #calça #tiktokshop</x:v>
      </x:c>
      <x:c r="S13" s="16" t="str">
        <x:v>Todo mundo está usando [PRODUTO], e agora eu entendi por quê. Mostre [DETALHE 1], [DETALHE 2] e [PROVA VISUAL]. Feche com um convite neutro para conferir o produto.</x:v>
      </x:c>
      <x:c r="T13" s="16" t="str">
        <x:v>Moderado</x:v>
      </x:c>
      <x:c r="U13" s="16" t="str">
        <x:v>Transcrição automática com trechos possivelmente corrompidos; revisar o áudio antes de reutilizar literalmente.</x:v>
      </x:c>
      <x:c r="V13" s="16" t="str">
        <x:v>https://www.tiktok.com/@achadinhos_ju5/video/7646044465316187412</x:v>
      </x:c>
      <x:c r="W13" s="16" t="str">
        <x:v>D:\Projetos\TiktokShop\Transcricoes TikTok 2026-07-27\11_tiktok_7646044465316187412_transcricao.md</x:v>
      </x:c>
    </x:row>
    <x:row r="14">
      <x:c r="A14" s="16" t="n">
        <x:v>13</x:v>
      </x:c>
      <x:c r="B14" s="16" t="str">
        <x:v>​7654391575698607367</x:v>
      </x:c>
      <x:c r="C14" s="16" t="str">
        <x:v>@mare.gaab</x:v>
      </x:c>
      <x:c r="D14" s="16" t="str">
        <x:v>Calça legging flare</x:v>
      </x:c>
      <x:c r="E14" s="16" t="str">
        <x:v>00:23</x:v>
      </x:c>
      <x:c r="F14" s="16" t="str">
        <x:v>Copy falada</x:v>
      </x:c>
      <x:c r="G14" s="16" t="str">
        <x:v>Baixa</x:v>
      </x:c>
      <x:c r="H14" s="16" t="str">
        <x:v>Apresentação de benefícios</x:v>
      </x:c>
      <x:c r="I14" s="16" t="str">
        <x:v>Declaração direta</x:v>
      </x:c>
      <x:c r="J14" s="16" t="str">
        <x:v>TISMO DE ALE</x:v>
      </x:c>
      <x:c r="K14" s="16" t="str"/>
      <x:c r="L14" s="16" t="str"/>
      <x:c r="M14" s="16" t="str"/>
      <x:c r="N14" s="16" t="str"/>
      <x:c r="O14" s="16" t="str">
        <x:v>Sem CTA explícito</x:v>
      </x:c>
      <x:c r="P14" s="16" t="str"/>
      <x:c r="Q14" s="16" t="str">
        <x:v>Nunca me canso dessa calça #legging #look #lookfitness #flare #modafeminina</x:v>
      </x:c>
      <x:c r="R14" s="16" t="str">
        <x:v>#legging #look #lookfitness #flare #modafeminina</x:v>
      </x:c>
      <x:c r="S14" s="16" t="str">
        <x:v>[PRODUTO] entrega [RESULTADO OBSERVÁVEL] de um jeito simples. Apresente dois detalhes comprovados do produto.</x:v>
      </x:c>
      <x:c r="T14" s="16" t="str">
        <x:v>Baixo</x:v>
      </x:c>
      <x:c r="U14" s="16" t="str">
        <x:v>Transcrição automática com trechos possivelmente corrompidos; revisar o áudio antes de reutilizar literalmente.</x:v>
      </x:c>
      <x:c r="V14" s="16" t="str">
        <x:v>https://www.tiktok.com/@mare.gaab/video/7654391575698607367</x:v>
      </x:c>
      <x:c r="W14" s="16" t="str">
        <x:v>D:\Projetos\TiktokShop\Transcricoes TikTok 2026-07-27\03_tiktok_7654391575698607367_transcricao.md</x:v>
      </x:c>
    </x:row>
    <x:row r="15">
      <x:c r="A15" s="16" t="n">
        <x:v>14</x:v>
      </x:c>
      <x:c r="B15" s="16" t="str">
        <x:v>​7656974534389583124</x:v>
      </x:c>
      <x:c r="C15" s="16" t="str">
        <x:v>@leaoamanda_</x:v>
      </x:c>
      <x:c r="D15" s="16" t="str">
        <x:v>Calça legging flare</x:v>
      </x:c>
      <x:c r="E15" s="16" t="str">
        <x:v>34 segundos</x:v>
      </x:c>
      <x:c r="F15" s="16" t="str">
        <x:v>Copy falada</x:v>
      </x:c>
      <x:c r="G15" s="16" t="str">
        <x:v>Baixa</x:v>
      </x:c>
      <x:c r="H15" s="16" t="str">
        <x:v>Depoimento pessoal</x:v>
      </x:c>
      <x:c r="I15" s="16" t="str">
        <x:v>Depoimento/confissão</x:v>
      </x:c>
      <x:c r="J15" s="16" t="str">
        <x:v>Eu estou completamente obcecada e ela modela de mais o corpo.</x:v>
      </x:c>
      <x:c r="K15" s="16" t="str">
        <x:v>Agora eu entendi porque quem gringas gostam tanto de usar calça flat. E eu amei que ela tem um teseb bem grossinho, então ela fica zero transparente. Ela dá uma confirmida aqui na barriga e ela modela de mais o corpo. Sério, eu estou simplesmente em choque. E mais em choque ainda pelo preço que eu paguei. Isso aqui, meu amor, não é com a bola que você encontra.</x:v>
      </x:c>
      <x:c r="L15" s="16" t="str"/>
      <x:c r="M15" s="16" t="str">
        <x:v>E eu amei que ela tem um teseb bem grossinho, então ela fica zero transparente.</x:v>
      </x:c>
      <x:c r="N15" s="16" t="str">
        <x:v>E mais em choque ainda pelo preço que eu paguei. Então clica aqui no carrinho laranja para você ver o preço que está saindo essa calça. Se tiver o seu tamanho e com desconto, amigo, compra por quê?</x:v>
      </x:c>
      <x:c r="O15" s="16" t="str">
        <x:v>Carrinho</x:v>
      </x:c>
      <x:c r="P15" s="16" t="str">
        <x:v>Então clica aqui no carrinho laranja para você ver o preço que está saindo essa calça. Se tiver o seu tamanho e com desconto, amigo, compra por quê?</x:v>
      </x:c>
      <x:c r="Q15" s="16" t="str">
        <x:v>Essa calça saiu diretamente do Pinterest 😮‍💨</x:v>
      </x:c>
      <x:c r="R15" s="16" t="str"/>
      <x:c r="S15" s="16" t="str">
        <x:v>Eu comprei [PRODUTO] sem esperar muito, mas [PROVA]. Apresente dois detalhes comprovados do produto. Feche com um convite neutro para conferir o produto.</x:v>
      </x:c>
      <x:c r="T15" s="16" t="str">
        <x:v>Moderado</x:v>
      </x:c>
      <x:c r="U15" s="16" t="str">
        <x:v>Transcrição automática com trechos possivelmente corrompidos; revisar o áudio antes de reutilizar literalmente.</x:v>
      </x:c>
      <x:c r="V15" s="16" t="str">
        <x:v>https://www.tiktok.com/@leaoamanda_/video/7656974534389583124</x:v>
      </x:c>
      <x:c r="W15" s="16" t="str">
        <x:v>D:\Projetos\TiktokShop\Transcricoes TikTok 2026-07-27\13_tiktok_7656974534389583124_transcricao.md</x:v>
      </x:c>
    </x:row>
    <x:row r="16">
      <x:c r="A16" s="16" t="n">
        <x:v>15</x:v>
      </x:c>
      <x:c r="B16" s="16" t="str">
        <x:v>​7659582874403753236</x:v>
      </x:c>
      <x:c r="C16" s="16" t="str">
        <x:v>@isa_deconto</x:v>
      </x:c>
      <x:c r="D16" s="16" t="str">
        <x:v>Calça legging flare</x:v>
      </x:c>
      <x:c r="E16" s="16" t="str">
        <x:v>37 segundos</x:v>
      </x:c>
      <x:c r="F16" s="16" t="str">
        <x:v>Copy falada</x:v>
      </x:c>
      <x:c r="G16" s="16" t="str">
        <x:v>Baixa</x:v>
      </x:c>
      <x:c r="H16" s="16" t="str">
        <x:v>Depoimento pessoal</x:v>
      </x:c>
      <x:c r="I16" s="16" t="str">
        <x:v>Preço/choque</x:v>
      </x:c>
      <x:c r="J16" s="16" t="str">
        <x:v>Eu não comprei o leguem porque é caro, a amiga compre essa aqui por menos de 40 reais</x:v>
      </x:c>
      <x:c r="K16" s="16" t="str">
        <x:v>E o bom dela é que ela é toda perluciada, então agora o nievernil é perfeita porque ela é esquenta Essa enturamente já tem compreção aqui na barriga, e assim não fica a personal no importa o movimento que você faça Não é transparente por conta da grossura dela, tem que ter muitas outras opções de cor, está? Eu já tenho ela na versão preto também, mas assim, gente, sério, é uma cor mais linda que a outra Vocês vão pensar, nossa, deve ser uma porca aqui na primeira lavagem, vai estragar, mas não, meus amores Essa aqui é a minha melhor leguem, é minha melhor leguem O super-apissão é uma estudo porque ela é muito confortável, por acaso a gente é interesse, vou deixá-la aqui no cair laranja Ela chega super rápida, super confiável, e realmente ela fica linda</x:v>
      </x:c>
      <x:c r="L16" s="16" t="str">
        <x:v>Essa enturamente já tem compreção aqui na barriga, e assim não fica a personal no importa o movimento que você faça</x:v>
      </x:c>
      <x:c r="M16" s="16" t="str">
        <x:v>Eu não comprei o leguem porque é caro, a amiga compre essa aqui por menos de 40 reais Não é transparente por conta da grossura dela, tem que ter muitas outras opções de cor, está?</x:v>
      </x:c>
      <x:c r="N16" s="16" t="str">
        <x:v>Eu não comprei o leguem porque é caro, a amiga compre essa aqui por menos de 40 reais</x:v>
      </x:c>
      <x:c r="O16" s="16" t="str">
        <x:v>Sem CTA explícito</x:v>
      </x:c>
      <x:c r="P16" s="16" t="str"/>
      <x:c r="Q16" s="16" t="str">
        <x:v>essa legging é 10/10 💋 #legging #leggingflare #flare #leggingflanelada</x:v>
      </x:c>
      <x:c r="R16" s="16" t="str">
        <x:v>#legging #leggingflare #flare #leggingflanelada</x:v>
      </x:c>
      <x:c r="S16" s="16" t="str">
        <x:v>[QUANTIDADE/PRODUTO] por [PREÇO]? Eu achei que era pegadinha. Mostre [DETALHE 1], [DETALHE 2] e [PROVA VISUAL].</x:v>
      </x:c>
      <x:c r="T16" s="16" t="str">
        <x:v>Moderado</x:v>
      </x:c>
      <x:c r="U16" s="16" t="str">
        <x:v>Transcrição automática com trechos possivelmente corrompidos; revisar o áudio antes de reutilizar literalmente.</x:v>
      </x:c>
      <x:c r="V16" s="16" t="str">
        <x:v>https://www.tiktok.com/@isa_deconto/video/7659582874403753236</x:v>
      </x:c>
      <x:c r="W16" s="16" t="str">
        <x:v>D:\Projetos\TiktokShop\Transcricoes TikTok 2026-07-27\01_tiktok_7659582874403753236_transcricao.md</x:v>
      </x:c>
    </x:row>
    <x:row r="17">
      <x:c r="A17" s="16" t="n">
        <x:v>16</x:v>
      </x:c>
      <x:c r="B17" s="16" t="str">
        <x:v>​7668414579935808789</x:v>
      </x:c>
      <x:c r="C17" s="16" t="str">
        <x:v>@** @brunasilvaindica</x:v>
      </x:c>
      <x:c r="D17" s="16" t="str">
        <x:v>Calça legging flare</x:v>
      </x:c>
      <x:c r="E17" s="16" t="str">
        <x:v>** 68 segundos</x:v>
      </x:c>
      <x:c r="F17" s="16" t="str">
        <x:v>Copy falada</x:v>
      </x:c>
      <x:c r="G17" s="16" t="str">
        <x:v>Alta</x:v>
      </x:c>
      <x:c r="H17" s="16" t="str">
        <x:v>Depoimento pessoal</x:v>
      </x:c>
      <x:c r="I17" s="16" t="str">
        <x:v>Identidade/desejo</x:v>
      </x:c>
      <x:c r="J17" s="16" t="str">
        <x:v>Aquelas calças da mamãe do pilates, que ela é coladinha e ela é flare embaixo... Pois é, amigas, eu me rendi, comprei uma e aí eu tive que pegar mais uma cor.</x:v>
      </x:c>
      <x:c r="K17" s="16" t="str">
        <x:v>E dessa vez eu comprei a vinho, porque eu tô apaixonada nesses tons assim. E aí eu peguei a vinho. Chegou pra mim muito rápido, foi muito rápido, chegou. E aí, olha isso aqui, gente. Olha a beleza disso aqui. Esse tecido é um tecido bem estruturado, sabe? Gente, olha a cintura, tem aquela compressão perfeita, tá? Essa aqui é perfeita. Bora ver como fica no corpo. A pessoa que fala que uma calça dessa é feia, eu vou ter que tá discordando. Gente, modela. Ai, eu sou apaixonada nesse estilo de calça aqui. Eu peguei um tamanho M, ela ficou assim, maravilhosa. Eu tô apaixonada nela.</x:v>
      </x:c>
      <x:c r="L17" s="16" t="str">
        <x:v>E dessa vez eu comprei a vinho, porque eu tô apaixonada nesses tons assim. E aí eu peguei a vinho. Chegou pra mim muito rápido, foi muito rápido, chegou. E aí, olha isso aqui, gente. Olha a beleza disso aqui. Esse tecido é um tecido bem estruturado, sabe? Gente, olha a cintura, tem aquela compressão perfeita, tá? Essa aqui é perfeita. Bora ver como fica no corpo.</x:v>
      </x:c>
      <x:c r="M17" s="16" t="str"/>
      <x:c r="N17" s="16" t="str">
        <x:v>Gente, eu amei. Olha isso aqui, como ela fica no corpo, como ela valoriza. Ela tem uma compressão também muito boa nessa região aqui, ó, da cintura. Eu vou deixar aqui no carrinho laranja essa aqui que eu comprei, no valor promocional, tá?</x:v>
      </x:c>
      <x:c r="O17" s="16" t="str">
        <x:v>Carrinho</x:v>
      </x:c>
      <x:c r="P17" s="16" t="str">
        <x:v>Gente, eu amei. Olha isso aqui, como ela fica no corpo, como ela valoriza. Ela tem uma compressão também muito boa nessa região aqui, ó, da cintura. Eu vou deixar aqui no carrinho laranja essa aqui que eu comprei, no valor promocional, tá?</x:v>
      </x:c>
      <x:c r="Q17" s="16" t="str"/>
      <x:c r="R17" s="16" t="str"/>
      <x:c r="S17" s="16" t="str">
        <x:v>Quem gosta de [DESEJO/ESTILO] vai amar [PRODUTO]. Mostre [DETALHE 1], [DETALHE 2] e [PROVA VISUAL]. Feche com um convite neutro para conferir o produto.</x:v>
      </x:c>
      <x:c r="T17" s="16" t="str">
        <x:v>Moderado</x:v>
      </x:c>
      <x:c r="U17" s="16" t="str">
        <x:v>Transcrição utilizável como referência editorial; validar alegações comerciais antes de adaptar.</x:v>
      </x:c>
      <x:c r="V17" s="16" t="str">
        <x:v>https://www.tiktok.com/@brunasilvaindica/video/7668414579935808789</x:v>
      </x:c>
      <x:c r="W17" s="16" t="str">
        <x:v>D:\Projetos\TiktokShop\Transcricoes TikTok 2026-08-10\01_tiktok_7668414579935808789_transcricao.md</x:v>
      </x:c>
    </x:row>
    <x:row r="18">
      <x:c r="A18" s="16" t="n">
        <x:v>17</x:v>
      </x:c>
      <x:c r="B18" s="16" t="str">
        <x:v>​7672106803261525269</x:v>
      </x:c>
      <x:c r="C18" s="16" t="str">
        <x:v>@** @martinhacreator</x:v>
      </x:c>
      <x:c r="D18" s="16" t="str">
        <x:v>Calça legging flare</x:v>
      </x:c>
      <x:c r="E18" s="16" t="str">
        <x:v>** 44 segundos</x:v>
      </x:c>
      <x:c r="F18" s="16" t="str">
        <x:v>Copy falada</x:v>
      </x:c>
      <x:c r="G18" s="16" t="str">
        <x:v>Alta</x:v>
      </x:c>
      <x:c r="H18" s="16" t="str">
        <x:v>Depoimento pessoal</x:v>
      </x:c>
      <x:c r="I18" s="16" t="str">
        <x:v>Trend/prova social</x:v>
      </x:c>
      <x:c r="J18" s="16" t="str">
        <x:v>Tem uma calça que voltou com tudo, todo mundo tá usando e eu amo demais, que é esse tipo de calça aqui.</x:v>
      </x:c>
      <x:c r="K18" s="16" t="str">
        <x:v>Lembra da calça bailarina? Pois é, amigas, ela voltou e eu amo porque não tem uma calça que te dê maior conforto do que essa aqui. Eu achei legal porque ela veio repaginada aqui, ó, com uma cintura mais alta e dá muita segurança na hora de usar. Ela disfarça culote, disfarça barriguinha, fica super bem-vestida. Dependendo da blusa que você colocar, amiga, dá pra você usar um salto e transformar essa peça numa peça mais socialzinha. Clica aí e dá uma conferida.</x:v>
      </x:c>
      <x:c r="L18" s="16" t="str"/>
      <x:c r="M18" s="16" t="str">
        <x:v>Eu achei legal porque ela veio repaginada aqui, ó, com uma cintura mais alta e dá muita segurança na hora de usar.</x:v>
      </x:c>
      <x:c r="N18" s="16" t="str">
        <x:v>Garanti agora, essa semana, essa cor aqui. Vou deixar o link pra você porque, além de linda, de confortável, o preço é incrível.</x:v>
      </x:c>
      <x:c r="O18" s="16" t="str">
        <x:v>Urgência condicional</x:v>
      </x:c>
      <x:c r="P18" s="16" t="str">
        <x:v>Garanti agora, essa semana, essa cor aqui. Vou deixar o link pra você porque, além de linda, de confortável, o preço é incrível.</x:v>
      </x:c>
      <x:c r="Q18" s="16" t="str"/>
      <x:c r="R18" s="16" t="str"/>
      <x:c r="S18" s="16" t="str">
        <x:v>Todo mundo está usando [PRODUTO], e agora eu entendi por quê. Apresente dois detalhes comprovados do produto. Feche com um convite neutro para conferir o produto.</x:v>
      </x:c>
      <x:c r="T18" s="16" t="str">
        <x:v>Baixo</x:v>
      </x:c>
      <x:c r="U18" s="16" t="str">
        <x:v>Transcrição utilizável como referência editorial; validar alegações comerciais antes de adaptar.</x:v>
      </x:c>
      <x:c r="V18" s="16" t="str">
        <x:v>https://www.tiktok.com/@martinhacreator/video/7672106803261525269</x:v>
      </x:c>
      <x:c r="W18" s="16" t="str">
        <x:v>D:\Projetos\TiktokShop\Transcricoes TikTok 2026-08-10\02_tiktok_7672106803261525269_transcricao.md</x:v>
      </x:c>
    </x:row>
    <x:row r="19">
      <x:c r="A19" s="16" t="n">
        <x:v>18</x:v>
      </x:c>
      <x:c r="B19" s="16" t="str">
        <x:v>​7627542684953038087</x:v>
      </x:c>
      <x:c r="C19" s="16" t="str">
        <x:v>@diannabie</x:v>
      </x:c>
      <x:c r="D19" s="16" t="str">
        <x:v>Calça pantalona</x:v>
      </x:c>
      <x:c r="E19" s="16" t="str">
        <x:v>70 segundos</x:v>
      </x:c>
      <x:c r="F19" s="16" t="str">
        <x:v>Copy falada</x:v>
      </x:c>
      <x:c r="G19" s="16" t="str">
        <x:v>Alta</x:v>
      </x:c>
      <x:c r="H19" s="16" t="str">
        <x:v>Depoimento pessoal</x:v>
      </x:c>
      <x:c r="I19" s="16" t="str">
        <x:v>Pergunta/dor</x:v>
      </x:c>
      <x:c r="J19" s="16" t="str">
        <x:v>Comprei a calça mais ripada desse TikTok, gente. Isso mesmo, aquela calça da Cordinha, sabe?</x:v>
      </x:c>
      <x:c r="K19" s="16" t="str">
        <x:v>Eu vi muitos anúncios. Inclusive alguns anúncios mais baratos que o outro. Eu fiquei pensando, será que a qualidade também é proporcional? Aí, gente, eu comprei do anúncio mais barato, porque justamente eu queria testar. Ó, nessa marca aqui e, gente, o tecido é no tecido marrante, tá? O tecido marrante, independente do produto que você for comprar, eu tenho esse conjunto, eu tenho um conjunto amarelo que fez muito sucesso e tenho outras roupas também no tecido. Gente, sempre pegue o número maior. E aí, gente, eu escolhi no tom de marrom, peguei o tamanho G e assim o tecido é maravilhoso mesmo, tá? Ele tem um bolso, o bolso não é muito curto, o bolso ele é profundo, tá vendo? E, obviamente, eu vou ter que mandar fazer barrinha porque eu tenho 1,5m, né, gente? E aqui a calça é lá do meio do meu tamanho, né? Aqui, a calça é lá do meu tamanho, praticamente.</x:v>
      </x:c>
      <x:c r="L19" s="16" t="str">
        <x:v>Aí, gente, eu comprei do anúncio mais barato, porque justamente eu queria testar.</x:v>
      </x:c>
      <x:c r="M19" s="16" t="str">
        <x:v>Eu vi muitos anúncios. Inclusive alguns anúncios mais baratos que o outro. Eu fiquei pensando, será que a qualidade também é proporcional?</x:v>
      </x:c>
      <x:c r="N19" s="16" t="str">
        <x:v>Eu vi muitos anúncios. Inclusive alguns anúncios mais baratos que o outro. Aí, gente, eu comprei do anúncio mais barato, porque justamente eu queria testar.</x:v>
      </x:c>
      <x:c r="O19" s="16" t="str">
        <x:v>Carrinho</x:v>
      </x:c>
      <x:c r="P19" s="16" t="str">
        <x:v>Se, ah não, tá a forma grande, compra maior, que aí é mais fácil mandar apertado, que comprar o tempo pequeno tem que devolver. E para você comprar, é só você clicar aqui no carrinho laranja. Beijo!</x:v>
      </x:c>
      <x:c r="Q19" s="16" t="str">
        <x:v>Que eu tô amando comprar lookinhos aqui vocês já sabem né? E eu que comprei essa calça no tecido marrant e AMEI. Quero uma de cada cor agora. #modafeminina #moda #calçamarrant</x:v>
      </x:c>
      <x:c r="R19" s="16" t="str">
        <x:v>#modafeminina #moda #calçamarrant</x:v>
      </x:c>
      <x:c r="S19" s="16" t="str">
        <x:v>Você também sofre com [DOR]? Olha o que eu encontrei. Mostre [DETALHE 1], [DETALHE 2] e [PROVA VISUAL]. Feche com um convite neutro para conferir o produto.</x:v>
      </x:c>
      <x:c r="T19" s="16" t="str">
        <x:v>Baixo</x:v>
      </x:c>
      <x:c r="U19" s="16" t="str">
        <x:v>Transcrição utilizável como referência editorial; validar alegações comerciais antes de adaptar.</x:v>
      </x:c>
      <x:c r="V19" s="16" t="str">
        <x:v>https://www.tiktok.com/@diannabie/video/7627542684953038087</x:v>
      </x:c>
      <x:c r="W19" s="16" t="str">
        <x:v>D:\Projetos\TiktokShop\Transcricoes TikTok 2026-08-04\07_tiktok_7627542684953038087_transcricao.md</x:v>
      </x:c>
    </x:row>
    <x:row r="20">
      <x:c r="A20" s="16" t="n">
        <x:v>19</x:v>
      </x:c>
      <x:c r="B20" s="16" t="str">
        <x:v>​7628985822221552916</x:v>
      </x:c>
      <x:c r="C20" s="16" t="str">
        <x:v>@paalomaoliveiraa</x:v>
      </x:c>
      <x:c r="D20" s="16" t="str">
        <x:v>Calça pantalona</x:v>
      </x:c>
      <x:c r="E20" s="16" t="str">
        <x:v>119 segundos</x:v>
      </x:c>
      <x:c r="F20" s="16" t="str">
        <x:v>Copy falada</x:v>
      </x:c>
      <x:c r="G20" s="16" t="str">
        <x:v>Alta</x:v>
      </x:c>
      <x:c r="H20" s="16" t="str">
        <x:v>Depoimento pessoal</x:v>
      </x:c>
      <x:c r="I20" s="16" t="str">
        <x:v>Identidade/desejo</x:v>
      </x:c>
      <x:c r="J20" s="16" t="str">
        <x:v>Comprei essa calça aqui no TikTok. Eu abri ela, meninas. Eu estou simplesmente apaixonada.</x:v>
      </x:c>
      <x:c r="K20" s="16" t="str">
        <x:v>Olha que calça perfeita. E já lembrando, ela veste mulheres altas. Ela tem um comprimento bem alto mesmo, tá? Um metro e doze de comprimento na perna e veste mulheres altas aí também. Olha que linda. Eu peguei na co-off, mas tem outras cores também disponível. Vem provar comigo. Normalmente eu pego o tamanho M dessas calças. Eu visto 38, pego o tamanho M. Essa parece ter uma forma maior um pouco. Vamos ver na hora que eu só abutoar. Gente, eu já estou gostando de cara. Olha isso. Olha que calça maravilhosa. Que linda. Não, meninas. Para tudo com essa calça. Essa aqui é um evento. Não vai precisar eu fazer ajuste, porque ela tem amarração na cintura, tá? Então não vai precisar eu fazer ajuste na cintura, porque ela tem amarração. Eu uso 38, peguei a M. Olha que linda. Que calça perfeita. Mas isso é o de menos. As baixinhas sempre sofrem nessa parte. Mas olha que calça chiquérima. Um luxo. Olha que perfeita meninas. Que maravilhosa essa calça. E vestir o super bem. O único ajuste que eu, Paloma, baixinha vai fazer é só dar do cumprimento. E se você ainda não me segue, clica aqui do lado para não me perder a mulher, porque eu sempre estou trazendo novidades aqui do TikTok Shop. Olha que linda. Amei.</x:v>
      </x:c>
      <x:c r="L20" s="16" t="str">
        <x:v>Olha que calça perfeita. E já lembrando, ela veste mulheres altas. Ela tem um comprimento bem alto mesmo, tá? Um metro e doze de comprimento na perna e veste mulheres altas aí também. Olha que linda. Eu peguei na co-off, mas tem outras cores também disponível. Vem provar comigo.</x:v>
      </x:c>
      <x:c r="M20" s="16" t="str"/>
      <x:c r="N20" s="16" t="str"/>
      <x:c r="O20" s="16" t="str">
        <x:v>Link</x:v>
      </x:c>
      <x:c r="P20" s="16" t="str">
        <x:v>O único ajuste que eu vou precisar fazer na perna só, porque ela ficou bem comprida, tá? Amei, gente. Já quero outras cores. Vou estar deixando o link da loja aqui embaixo para você.</x:v>
      </x:c>
      <x:c r="Q20" s="16" t="str">
        <x:v>Que luxo essa calça pantalona feminina #calçapantalona #modafemina</x:v>
      </x:c>
      <x:c r="R20" s="16" t="str">
        <x:v>#calçapantalona #modafemina</x:v>
      </x:c>
      <x:c r="S20" s="16" t="str">
        <x:v>Quem gosta de [DESEJO/ESTILO] vai amar [PRODUTO]. Mostre [DETALHE 1], [DETALHE 2] e [PROVA VISUAL]. Feche com um convite neutro para conferir o produto.</x:v>
      </x:c>
      <x:c r="T20" s="16" t="str">
        <x:v>Baixo</x:v>
      </x:c>
      <x:c r="U20" s="16" t="str">
        <x:v>Transcrição utilizável como referência editorial; validar alegações comerciais antes de adaptar.</x:v>
      </x:c>
      <x:c r="V20" s="16" t="str">
        <x:v>https://www.tiktok.com/@paalomaoliveiraa/video/7628985822221552916</x:v>
      </x:c>
      <x:c r="W20" s="16" t="str">
        <x:v>D:\Projetos\TiktokShop\Transcricoes TikTok 2026-08-04\11_tiktok_7628985822221552916_transcricao.md</x:v>
      </x:c>
    </x:row>
    <x:row r="21">
      <x:c r="A21" s="16" t="n">
        <x:v>20</x:v>
      </x:c>
      <x:c r="B21" s="16" t="str">
        <x:v>​7634731433747156232</x:v>
      </x:c>
      <x:c r="C21" s="16" t="str">
        <x:v>@estilocomflora</x:v>
      </x:c>
      <x:c r="D21" s="16" t="str">
        <x:v>Calça pantalona</x:v>
      </x:c>
      <x:c r="E21" s="16" t="str">
        <x:v>33 segundos</x:v>
      </x:c>
      <x:c r="F21" s="16" t="str">
        <x:v>Copy falada</x:v>
      </x:c>
      <x:c r="G21" s="16" t="str">
        <x:v>Alta</x:v>
      </x:c>
      <x:c r="H21" s="16" t="str">
        <x:v>Apresentação de benefícios</x:v>
      </x:c>
      <x:c r="I21" s="16" t="str">
        <x:v>Identidade/desejo</x:v>
      </x:c>
      <x:c r="J21" s="16" t="str">
        <x:v>Meninas, calça no tecido marrante, bem corpada, bolsinho nas laterais, cordão funcional na frente,</x:v>
      </x:c>
      <x:c r="K21" s="16" t="str">
        <x:v>ele é bem comprido para as meninas mais altas, estou usando ela que esse salto bem alto, ainda sobrou o tecido para baixo, e o precinho dessa calça, vocês não vão acreditar, dá presente para o dia das mães para se presentear uma peça realmente incrível, meninas não perde a oportunidade.</x:v>
      </x:c>
      <x:c r="L21" s="16" t="str"/>
      <x:c r="M21" s="16" t="str"/>
      <x:c r="N21" s="16" t="str"/>
      <x:c r="O21" s="16" t="str">
        <x:v>Recomendação/compra</x:v>
      </x:c>
      <x:c r="P21" s="16" t="str">
        <x:v>está realmente um precinho incrível, vai nessa colinha laranja, dá uma olhada nas cores que tem disponível e já seleciona a sua, porque não dá para perder,</x:v>
      </x:c>
      <x:c r="Q21" s="16" t="str">
        <x:v>calça pantalona tecido marrant #calca #moda #plus</x:v>
      </x:c>
      <x:c r="R21" s="16" t="str">
        <x:v>#calca #moda #plus</x:v>
      </x:c>
      <x:c r="S21" s="16" t="str">
        <x:v>Quem gosta de [DESEJO/ESTILO] vai amar [PRODUTO]. Apresente dois detalhes comprovados do produto. Feche com um convite neutro para conferir o produto.</x:v>
      </x:c>
      <x:c r="T21" s="16" t="str">
        <x:v>Baixo</x:v>
      </x:c>
      <x:c r="U21" s="16" t="str">
        <x:v>Transcrição utilizável como referência editorial; validar alegações comerciais antes de adaptar.</x:v>
      </x:c>
      <x:c r="V21" s="16" t="str">
        <x:v>https://www.tiktok.com/@estilocomflora/video/7634731433747156232</x:v>
      </x:c>
      <x:c r="W21" s="16" t="str">
        <x:v>D:\Projetos\TiktokShop\Transcricoes TikTok 2026-08-04\10_tiktok_7634731433747156232_transcricao.md</x:v>
      </x:c>
    </x:row>
    <x:row r="22">
      <x:c r="A22" s="16" t="n">
        <x:v>21</x:v>
      </x:c>
      <x:c r="B22" s="16" t="str">
        <x:v>​7645009188519054610</x:v>
      </x:c>
      <x:c r="C22" s="16" t="str">
        <x:v>@celmabarbosamateus</x:v>
      </x:c>
      <x:c r="D22" s="16" t="str">
        <x:v>Calça pantalona</x:v>
      </x:c>
      <x:c r="E22" s="16" t="str">
        <x:v>27 segundos</x:v>
      </x:c>
      <x:c r="F22" s="16" t="str">
        <x:v>Copy falada</x:v>
      </x:c>
      <x:c r="G22" s="16" t="str">
        <x:v>Alta</x:v>
      </x:c>
      <x:c r="H22" s="16" t="str">
        <x:v>Depoimento pessoal</x:v>
      </x:c>
      <x:c r="I22" s="16" t="str">
        <x:v>Depoimento/confissão</x:v>
      </x:c>
      <x:c r="J22" s="16" t="str">
        <x:v>O tanto que eu amei essa calça não tá escrita, ela é uma pantalona em tecido marran, gente,</x:v>
      </x:c>
      <x:c r="K22" s="16" t="str">
        <x:v>que coisa mais linda! Eu comprei essa aqui no Marrom Café, mas tem outras cores disponíveis, tem essa fita aqui pra marrar, ela é bem cumprida, tá? Então atende bem as pessoas altas, né? Eu sou bem alta, então quem for baixinho é só fazer a barra que dá super certo, maravilhosa o tecido grossinho, ó, valeu, super a pena! Com certeza eu quero todas as outras cores!</x:v>
      </x:c>
      <x:c r="L22" s="16" t="str">
        <x:v>que coisa mais linda! Eu comprei essa aqui no Marrom Café, mas tem outras cores disponíveis,</x:v>
      </x:c>
      <x:c r="M22" s="16" t="str"/>
      <x:c r="N22" s="16" t="str"/>
      <x:c r="O22" s="16" t="str">
        <x:v>Sem CTA explícito</x:v>
      </x:c>
      <x:c r="P22" s="16" t="str"/>
      <x:c r="Q22" s="16" t="str">
        <x:v>Calça Pantalona Cintura Alta com Amarração. Elegância e Conforto Em tecido Marrant, também conhecido como Sensoriale...... #tiktokshop #modafeminina #calcapantalona #pantalona #elegante</x:v>
      </x:c>
      <x:c r="R22" s="16" t="str">
        <x:v>#tiktokshop #modafeminina #calcapantalona #pantalona #elegante</x:v>
      </x:c>
      <x:c r="S22" s="16" t="str">
        <x:v>Eu comprei [PRODUTO] sem esperar muito, mas [PROVA]. Mostre [DETALHE 1], [DETALHE 2] e [PROVA VISUAL].</x:v>
      </x:c>
      <x:c r="T22" s="16" t="str">
        <x:v>Baixo</x:v>
      </x:c>
      <x:c r="U22" s="16" t="str">
        <x:v>Transcrição utilizável como referência editorial; validar alegações comerciais antes de adaptar.</x:v>
      </x:c>
      <x:c r="V22" s="16" t="str">
        <x:v>https://www.tiktok.com/@celmabarbosamateus/video/7645009188519054610</x:v>
      </x:c>
      <x:c r="W22" s="16" t="str">
        <x:v>D:\Projetos\TiktokShop\Transcricoes TikTok 2026-08-04\08_tiktok_7645009188519054610_transcricao.md</x:v>
      </x:c>
    </x:row>
    <x:row r="23">
      <x:c r="A23" s="16" t="n">
        <x:v>22</x:v>
      </x:c>
      <x:c r="B23" s="16" t="str">
        <x:v>​7652139665813687573</x:v>
      </x:c>
      <x:c r="C23" s="16" t="str">
        <x:v>@carinaba89</x:v>
      </x:c>
      <x:c r="D23" s="16" t="str">
        <x:v>Calça pantalona</x:v>
      </x:c>
      <x:c r="E23" s="16" t="str">
        <x:v>51 segundos</x:v>
      </x:c>
      <x:c r="F23" s="16" t="str">
        <x:v>Copy falada</x:v>
      </x:c>
      <x:c r="G23" s="16" t="str">
        <x:v>Alta</x:v>
      </x:c>
      <x:c r="H23" s="16" t="str">
        <x:v>Apresentação de benefícios</x:v>
      </x:c>
      <x:c r="I23" s="16" t="str">
        <x:v>Declaração direta</x:v>
      </x:c>
      <x:c r="J23" s="16" t="str">
        <x:v>Essa aqui é na cor verde menta e confesso pra vocês que essa é a minha</x:v>
      </x:c>
      <x:c r="K23" s="16" t="str">
        <x:v>cor preferida dessas calças no tecido marrante, calça pantalona amiga no tecido marrante que é super confortável aquele tecido bem encorpado é zero transparência olha só como que fica bem bonita no corpo aquela calça que você vai pra todos os lugares aí muito bem vestida e pagando vocês porque ela voltou pro estoque em oito cores tá todas as cores disponíveis e em todos os tamanhos do trinta e seis até o tamanho 50 amiga oito cores lindas cores vivas bem bonitas mesmo pra você estar razando aí em sua</x:v>
      </x:c>
      <x:c r="L23" s="16" t="str">
        <x:v>encorpado é zero transparência olha só como que fica bem bonita no corpo aquela</x:v>
      </x:c>
      <x:c r="M23" s="16" t="str">
        <x:v>encorpado é zero transparência olha só como que fica bem bonita no corpo aquela</x:v>
      </x:c>
      <x:c r="N23" s="16" t="str">
        <x:v>vocês porque ela voltou pro estoque em oito cores tá todas as cores</x:v>
      </x:c>
      <x:c r="O23" s="16" t="str">
        <x:v>Urgência condicional</x:v>
      </x:c>
      <x:c r="P23" s="16" t="str">
        <x:v>pouquíssimo então corre no carrinho laranja que eu vou deixar aqui pra qualquer ocasião tá não perde tempo vai no carrinho laranja amiga e garanta</x:v>
      </x:c>
      <x:c r="Q23" s="16" t="str">
        <x:v>Calça pantalona tecido marrante</x:v>
      </x:c>
      <x:c r="R23" s="16" t="str"/>
      <x:c r="S23" s="16" t="str">
        <x:v>[PRODUTO] entrega [RESULTADO OBSERVÁVEL] de um jeito simples. Mostre [DETALHE 1], [DETALHE 2] e [PROVA VISUAL]. Feche com um convite neutro para conferir o produto.</x:v>
      </x:c>
      <x:c r="T23" s="16" t="str">
        <x:v>Moderado</x:v>
      </x:c>
      <x:c r="U23" s="16" t="str">
        <x:v>Transcrição utilizável como referência editorial; validar alegações comerciais antes de adaptar.</x:v>
      </x:c>
      <x:c r="V23" s="16" t="str">
        <x:v>https://www.tiktok.com/@carinaba89/video/7652139665813687573</x:v>
      </x:c>
      <x:c r="W23" s="16" t="str">
        <x:v>D:\Projetos\TiktokShop\Transcricoes TikTok 2026-08-04\13_tiktok_7652139665813687573_transcricao.md</x:v>
      </x:c>
    </x:row>
    <x:row r="24">
      <x:c r="A24" s="16" t="n">
        <x:v>23</x:v>
      </x:c>
      <x:c r="B24" s="16" t="str">
        <x:v>​7657650510194871572</x:v>
      </x:c>
      <x:c r="C24" s="16" t="str">
        <x:v>@meeryrocha</x:v>
      </x:c>
      <x:c r="D24" s="16" t="str">
        <x:v>Calça pantalona</x:v>
      </x:c>
      <x:c r="E24" s="16" t="str">
        <x:v>66 segundos</x:v>
      </x:c>
      <x:c r="F24" s="16" t="str">
        <x:v>Copy falada</x:v>
      </x:c>
      <x:c r="G24" s="16" t="str">
        <x:v>Alta</x:v>
      </x:c>
      <x:c r="H24" s="16" t="str">
        <x:v>Checklist técnico</x:v>
      </x:c>
      <x:c r="I24" s="16" t="str">
        <x:v>Depoimento/confissão</x:v>
      </x:c>
      <x:c r="J24" s="16" t="str">
        <x:v>Quando eu compro algumas calças de alfaiataria, alguns pontos pra mim são muito importantes.</x:v>
      </x:c>
      <x:c r="K24" s="16" t="str">
        <x:v>Essa calça tá aqui num carrinho laranja, tá? Primeiro ponto, o tecido. Por exemplo, esse tecido aqui é o marran, que é aquele que parece com linho, sabe? Mais grossinho, com mais qualidade. Outro ponto importante, a composição da calça. Por exemplo, ó, 90% viscose e 10% polieste. Outro ponto muito importante é o acabamento. Já usar essa calça, o acabamento dela continua impecável, tá vendo? Outro ponto importante é se o bolso e o fechicle tem a mesma cor ou muito parecido com o tecido. Tem umas calças que não tem. Pra mim tem que ser muito parecido. Ponto importante também. Calma aí. Toda calça de alfaiataria no meu corpo precisa ser cintura alta. Então ela precisa ser cintura alta e essa é. Ah, essa cordinha que ela sai, tá? Você pode usar como assim, cordinha? Porque ela tem passante. Nela toda você pode usar com cinto se você preferir. Qual que é a dúvida? É só você me perguntar, tá? Essa aqui é ó, eu também tenho a preta. Tem outras cores aqui. Beijo, tchau.</x:v>
      </x:c>
      <x:c r="L24" s="16" t="str"/>
      <x:c r="M24" s="16" t="str">
        <x:v>Qual que é a dúvida?</x:v>
      </x:c>
      <x:c r="N24" s="16" t="str"/>
      <x:c r="O24" s="16" t="str">
        <x:v>Carrinho</x:v>
      </x:c>
      <x:c r="P24" s="16" t="str">
        <x:v>Tem várias cores e tamanho aqui no carrinho laranja.</x:v>
      </x:c>
      <x:c r="Q24" s="16" t="str">
        <x:v>Calça de alfaiataria, pantalona e tecido Marrant</x:v>
      </x:c>
      <x:c r="R24" s="16" t="str"/>
      <x:c r="S24" s="16" t="str">
        <x:v>Eu comprei [PRODUTO] sem esperar muito, mas [PROVA]. Apresente dois detalhes comprovados do produto. Feche com um convite neutro para conferir o produto.</x:v>
      </x:c>
      <x:c r="T24" s="16" t="str">
        <x:v>Baixo</x:v>
      </x:c>
      <x:c r="U24" s="16" t="str">
        <x:v>Transcrição utilizável como referência editorial; validar alegações comerciais antes de adaptar.</x:v>
      </x:c>
      <x:c r="V24" s="16" t="str">
        <x:v>https://www.tiktok.com/@meeryrocha/video/7657650510194871572</x:v>
      </x:c>
      <x:c r="W24" s="16" t="str">
        <x:v>D:\Projetos\TiktokShop\Transcricoes TikTok 2026-08-04\05_tiktok_7657650510194871572_transcricao.md</x:v>
      </x:c>
    </x:row>
    <x:row r="25">
      <x:c r="A25" s="16" t="n">
        <x:v>24</x:v>
      </x:c>
      <x:c r="B25" s="16" t="str">
        <x:v>​7658078417153248532</x:v>
      </x:c>
      <x:c r="C25" s="16" t="str">
        <x:v>@meeryrocha</x:v>
      </x:c>
      <x:c r="D25" s="16" t="str">
        <x:v>Calça pantalona</x:v>
      </x:c>
      <x:c r="E25" s="16" t="str">
        <x:v>64 segundos</x:v>
      </x:c>
      <x:c r="F25" s="16" t="str">
        <x:v>Copy falada</x:v>
      </x:c>
      <x:c r="G25" s="16" t="str">
        <x:v>Alta</x:v>
      </x:c>
      <x:c r="H25" s="16" t="str">
        <x:v>Checklist técnico</x:v>
      </x:c>
      <x:c r="I25" s="16" t="str">
        <x:v>Depoimento/confissão</x:v>
      </x:c>
      <x:c r="J25" s="16" t="str">
        <x:v>Eu sou uma grande fã de roupas de alfa e ataria com caimento e acabamento bom.</x:v>
      </x:c>
      <x:c r="K25" s="16" t="str">
        <x:v>Esta calça aqui não fica para trás, tá? Vamos começar pelo preço dela, que é maravilhoso, que está aqui no carrinho laranja. Ela é do tecido marrã. O tecido marrã é aquele tecido que parece linho, sabe? Mas não é linho, com excelente qualidade? Pois é. Essa cordinha que sai, se você não quiser usar a cordinha, tá? Pode usar com passante, sem problema nenhum, mas eu prefiro com a cordinha, dá todo um charme. Ela é a cintura alta, que pra mim, pra mim, calça de alfa e ataria no meu corpo fica melhor se for cintura alta e em mim fica muito mais elegante. Pantalona, se você tem mais de 1,70m, com certeza vai caber em você, ó. Ela é grande, em mim lá embaixo. Ela fica acinturadinha, bonitinha que você pode botar mais acinturada com essa cordinha. Bolso do mesmo tecido da calça. Enfim, ela tem muitos benefícios, estou apaixonada. Está aqui no Carno Laranja e tem várias cores e tamanho. Se não me engano, vai ter um tamanho 50. Qualquer dúvida, deixe nos comentários que eu te ajudo, tá bem? Beijo! Tchau!</x:v>
      </x:c>
      <x:c r="L25" s="16" t="str">
        <x:v>Esta calça aqui não fica para trás, tá?</x:v>
      </x:c>
      <x:c r="M25" s="16" t="str">
        <x:v>Pode usar com passante, sem problema nenhum, mas eu prefiro com a cordinha, dá todo um charme. Qualquer dúvida, deixe nos comentários que eu te ajudo, tá bem?</x:v>
      </x:c>
      <x:c r="N25" s="16" t="str">
        <x:v>Vamos começar pelo preço dela, que é maravilhoso, que está aqui no carrinho laranja.</x:v>
      </x:c>
      <x:c r="O25" s="16" t="str">
        <x:v>Sem CTA explícito</x:v>
      </x:c>
      <x:c r="P25" s="16" t="str"/>
      <x:c r="Q25" s="16" t="str">
        <x:v>Calça de alfaiataria, pantalona e tecido Marrant</x:v>
      </x:c>
      <x:c r="R25" s="16" t="str"/>
      <x:c r="S25" s="16" t="str">
        <x:v>Eu comprei [PRODUTO] sem esperar muito, mas [PROVA]. Mostre [DETALHE 1], [DETALHE 2] e [PROVA VISUAL].</x:v>
      </x:c>
      <x:c r="T25" s="16" t="str">
        <x:v>Baixo</x:v>
      </x:c>
      <x:c r="U25" s="16" t="str">
        <x:v>Transcrição utilizável como referência editorial; validar alegações comerciais antes de adaptar.</x:v>
      </x:c>
      <x:c r="V25" s="16" t="str">
        <x:v>https://www.tiktok.com/@meeryrocha/video/7658078417153248532</x:v>
      </x:c>
      <x:c r="W25" s="16" t="str">
        <x:v>D:\Projetos\TiktokShop\Transcricoes TikTok 2026-08-04\02_tiktok_7658078417153248532_transcricao.md</x:v>
      </x:c>
    </x:row>
    <x:row r="26">
      <x:c r="A26" s="16" t="n">
        <x:v>25</x:v>
      </x:c>
      <x:c r="B26" s="16" t="str">
        <x:v>​7658266454617361671</x:v>
      </x:c>
      <x:c r="C26" s="16" t="str">
        <x:v>@nycollelimaa</x:v>
      </x:c>
      <x:c r="D26" s="16" t="str">
        <x:v>Calça pantalona</x:v>
      </x:c>
      <x:c r="E26" s="16" t="str">
        <x:v>25 segundos</x:v>
      </x:c>
      <x:c r="F26" s="16" t="str">
        <x:v>Copy falada</x:v>
      </x:c>
      <x:c r="G26" s="16" t="str">
        <x:v>Alta</x:v>
      </x:c>
      <x:c r="H26" s="16" t="str">
        <x:v>Apresentação de benefícios</x:v>
      </x:c>
      <x:c r="I26" s="16" t="str">
        <x:v>Identidade/desejo</x:v>
      </x:c>
      <x:c r="J26" s="16" t="str">
        <x:v>Então, depois de você comprar essa calça marrante aqui do TikTok, a amiga você tem que se controlar</x:v>
      </x:c>
      <x:c r="K26" s="16" t="str">
        <x:v>pra não querer comprar todas as cores. Eu não dava dessa calça, né? Porque, inclusive, ela tá super viralizada, gente, mas ela fica muito linda no corpo, muito linda mesmo. Ela é uma calça chic, elegante, chic, vesti super bem. É uma calça modelo pantalona, em que da loja tem até o tamanho plus size, se não me engana no G3. É menos que R$80, isso aqui, gente, é praticamente dado.</x:v>
      </x:c>
      <x:c r="L26" s="16" t="str"/>
      <x:c r="M26" s="16" t="str"/>
      <x:c r="N26" s="16" t="str">
        <x:v>É menos que R$80, isso aqui, gente, é praticamente dado.</x:v>
      </x:c>
      <x:c r="O26" s="16" t="str">
        <x:v>Sem CTA explícito</x:v>
      </x:c>
      <x:c r="P26" s="16" t="str"/>
      <x:c r="Q26" s="16" t="str">
        <x:v>#tiktokshop #calçapantalona #modafeminina</x:v>
      </x:c>
      <x:c r="R26" s="16" t="str">
        <x:v>#tiktokshop #calçapantalona #modafeminina</x:v>
      </x:c>
      <x:c r="S26" s="16" t="str">
        <x:v>Quem gosta de [DESEJO/ESTILO] vai amar [PRODUTO]. Apresente dois detalhes comprovados do produto.</x:v>
      </x:c>
      <x:c r="T26" s="16" t="str">
        <x:v>Moderado</x:v>
      </x:c>
      <x:c r="U26" s="16" t="str">
        <x:v>Transcrição utilizável como referência editorial; validar alegações comerciais antes de adaptar.</x:v>
      </x:c>
      <x:c r="V26" s="16" t="str">
        <x:v>https://www.tiktok.com/@nycollelimaa/video/7658266454617361671</x:v>
      </x:c>
      <x:c r="W26" s="16" t="str">
        <x:v>D:\Projetos\TiktokShop\Transcricoes TikTok 2026-08-04\06_tiktok_7658266454617361671_transcricao.md</x:v>
      </x:c>
    </x:row>
    <x:row r="27">
      <x:c r="A27" s="16" t="n">
        <x:v>26</x:v>
      </x:c>
      <x:c r="B27" s="16" t="str">
        <x:v>​7661821903820049685</x:v>
      </x:c>
      <x:c r="C27" s="16" t="str">
        <x:v>@meeryrocha</x:v>
      </x:c>
      <x:c r="D27" s="16" t="str">
        <x:v>Calça pantalona</x:v>
      </x:c>
      <x:c r="E27" s="16" t="str">
        <x:v>56 segundos</x:v>
      </x:c>
      <x:c r="F27" s="16" t="str">
        <x:v>Copy falada</x:v>
      </x:c>
      <x:c r="G27" s="16" t="str">
        <x:v>Alta</x:v>
      </x:c>
      <x:c r="H27" s="16" t="str">
        <x:v>Checklist técnico</x:v>
      </x:c>
      <x:c r="I27" s="16" t="str">
        <x:v>Depoimento/confissão</x:v>
      </x:c>
      <x:c r="J27" s="16" t="str">
        <x:v>Toda vez que eu compro calça de alfaetaria, alguns pontos me chamam a atenção.</x:v>
      </x:c>
      <x:c r="K27" s="16" t="str">
        <x:v>Por exemplo, essa calça aqui está aqui no carrinho laranja, tá? Primeiro de tudo, cor o e o tecido da calça. Esse tecido aqui é aquele tecido marran, que parece com linho que é de extrema qualidade. Outro ponto importante é a composição da peça. Ela é 90% viscose, tá? O bolso tem que ser do mesmo tecido da calça, tá vendo? Mesmo o tecido, porque eu acho que é muito mais resistente. O acabamento precisa ser bom, ah, já lavei e não encole, tá? O acabamento precisa ser muito bom. Essa cordinha aqui, ela sai, tá? Você pode usar com passante, se preferir. O botão e o fechicleta em si da mesma cor ou muito parecido com a calça, eu acho que orna mais e cintura alta. Calça de alfaetaria, pra mim, tem que ser cintura alta, porque no meu corpo fica mais bonito, tá? Qualquer dúvida, deixa aqui nos comentários que eu te ajudo. Beijo, tchau!</x:v>
      </x:c>
      <x:c r="L27" s="16" t="str">
        <x:v>O acabamento precisa ser bom, ah, já lavei e não encole, tá?</x:v>
      </x:c>
      <x:c r="M27" s="16" t="str">
        <x:v>Qualquer dúvida, deixa aqui nos comentários que eu te ajudo.</x:v>
      </x:c>
      <x:c r="N27" s="16" t="str"/>
      <x:c r="O27" s="16" t="str">
        <x:v>Carrinho</x:v>
      </x:c>
      <x:c r="P27" s="16" t="str">
        <x:v>Aqui no carrinho laranja tem várias cores e tamanho.</x:v>
      </x:c>
      <x:c r="Q27" s="16" t="str">
        <x:v>Calça de alfaiataria, pantalona e tecido Marrant</x:v>
      </x:c>
      <x:c r="R27" s="16" t="str"/>
      <x:c r="S27" s="16" t="str">
        <x:v>Eu comprei [PRODUTO] sem esperar muito, mas [PROVA]. Mostre [DETALHE 1], [DETALHE 2] e [PROVA VISUAL]. Feche com um convite neutro para conferir o produto.</x:v>
      </x:c>
      <x:c r="T27" s="16" t="str">
        <x:v>Baixo</x:v>
      </x:c>
      <x:c r="U27" s="16" t="str">
        <x:v>Transcrição utilizável como referência editorial; validar alegações comerciais antes de adaptar.</x:v>
      </x:c>
      <x:c r="V27" s="16" t="str">
        <x:v>https://www.tiktok.com/@meeryrocha/video/7661821903820049685</x:v>
      </x:c>
      <x:c r="W27" s="16" t="str">
        <x:v>D:\Projetos\TiktokShop\Transcricoes TikTok 2026-08-04\03_tiktok_7661821903820049685_transcricao.md</x:v>
      </x:c>
    </x:row>
    <x:row r="28">
      <x:c r="A28" s="16" t="n">
        <x:v>27</x:v>
      </x:c>
      <x:c r="B28" s="16" t="str">
        <x:v>​7663238670257868039</x:v>
      </x:c>
      <x:c r="C28" s="16" t="str">
        <x:v>@compradagata</x:v>
      </x:c>
      <x:c r="D28" s="16" t="str">
        <x:v>Calça pantalona</x:v>
      </x:c>
      <x:c r="E28" s="16" t="str">
        <x:v>26 segundos</x:v>
      </x:c>
      <x:c r="F28" s="16" t="str">
        <x:v>Sem copy falada</x:v>
      </x:c>
      <x:c r="G28" s="16" t="str">
        <x:v>N/A</x:v>
      </x:c>
      <x:c r="H28" s="16" t="str">
        <x:v>Demonstração silenciosa/texto visual</x:v>
      </x:c>
      <x:c r="I28" s="16" t="str">
        <x:v>Sem hook falado</x:v>
      </x:c>
      <x:c r="J28" s="16" t="str"/>
      <x:c r="K28" s="16" t="str"/>
      <x:c r="L28" s="16" t="str"/>
      <x:c r="M28" s="16" t="str"/>
      <x:c r="N28" s="16" t="str"/>
      <x:c r="O28" s="16" t="str">
        <x:v>Sem CTA explícito</x:v>
      </x:c>
      <x:c r="P28" s="16" t="str"/>
      <x:c r="Q28" s="16" t="str">
        <x:v>A calça pantalona que está conquistando todo mundo! Cintura alta, amarração e caimento perfeito. #calçapantalona #modafeminina #tiktokshop</x:v>
      </x:c>
      <x:c r="R28" s="16" t="str">
        <x:v>#calçapantalona #modafeminina #tiktokshop</x:v>
      </x:c>
      <x:c r="S28" s="16" t="str">
        <x:v>[TEXTO VISUAL CURTO] Apresente dois detalhes comprovados do produto.</x:v>
      </x:c>
      <x:c r="T28" s="16" t="str">
        <x:v>Baixo</x:v>
      </x:c>
      <x:c r="U28" s="16" t="str">
        <x:v>Não há copy falada confiável; usar somente como referência visual/textual.</x:v>
      </x:c>
      <x:c r="V28" s="16" t="str">
        <x:v>https://www.tiktok.com/@compradagata/video/7663238670257868039</x:v>
      </x:c>
      <x:c r="W28" s="16" t="str">
        <x:v>D:\Projetos\TiktokShop\Transcricoes TikTok 2026-08-04\16_tiktok_7663238670257868039_sem_copy.md</x:v>
      </x:c>
    </x:row>
    <x:row r="29">
      <x:c r="A29" s="16" t="n">
        <x:v>28</x:v>
      </x:c>
      <x:c r="B29" s="16" t="str">
        <x:v>​7663556817318006023</x:v>
      </x:c>
      <x:c r="C29" s="16" t="str">
        <x:v>@nycollelimaa</x:v>
      </x:c>
      <x:c r="D29" s="16" t="str">
        <x:v>Calça pantalona</x:v>
      </x:c>
      <x:c r="E29" s="16" t="str">
        <x:v>29 segundos</x:v>
      </x:c>
      <x:c r="F29" s="16" t="str">
        <x:v>Copy falada</x:v>
      </x:c>
      <x:c r="G29" s="16" t="str">
        <x:v>Alta</x:v>
      </x:c>
      <x:c r="H29" s="16" t="str">
        <x:v>Dor &gt; solução</x:v>
      </x:c>
      <x:c r="I29" s="16" t="str">
        <x:v>Pergunta/dor</x:v>
      </x:c>
      <x:c r="J29" s="16" t="str">
        <x:v>Sabe qual é o problema de comprar um tic-toc-shop?</x:v>
      </x:c>
      <x:c r="K29" s="16" t="str">
        <x:v>É que você comprou uma peça, um trem, você vai comprar todas as cores. Estou na minha segunda compra dessa calça amarrante aqui. Eu tenho a beige, comprei agora essa amarrão porque a gente tem uma calça aqui e eu não tiro do corpo. Comfortável, chic, custa menos que 80 reais, gente. Tanto que essa calça que veste, o meio não tá escrito. Beleza dessa calça não ter sido super grosso, que não marca, não fica transparente. E ainda tem esse cintinho aqui, ó, amiga, pra você ajustar bem dois bolsos ao seguir a perfeição.</x:v>
      </x:c>
      <x:c r="L29" s="16" t="str">
        <x:v>Eu tenho a beige, comprei agora essa amarrão porque a gente tem uma calça aqui e eu não tiro do corpo. Tanto que essa calça que veste, o meio não tá escrito. Beleza dessa calça não ter sido super grosso, que não marca, não fica transparente.</x:v>
      </x:c>
      <x:c r="M29" s="16" t="str">
        <x:v>Sabe qual é o problema de comprar um tic-toc-shop? Beleza dessa calça não ter sido super grosso, que não marca, não fica transparente.</x:v>
      </x:c>
      <x:c r="N29" s="16" t="str">
        <x:v>Comfortável, chic, custa menos que 80 reais, gente.</x:v>
      </x:c>
      <x:c r="O29" s="16" t="str">
        <x:v>Urgência condicional</x:v>
      </x:c>
      <x:c r="P29" s="16" t="str">
        <x:v>Eu vou deixar o link aí, porque essa lógica que eu encontrei beche até o G3, amiga, até o tamanho pulsar. Então você já corre pra você garantir a sua.</x:v>
      </x:c>
      <x:c r="Q29" s="16" t="str">
        <x:v>#calçapantalona #calçafeminina #tiktokshop</x:v>
      </x:c>
      <x:c r="R29" s="16" t="str">
        <x:v>#calçapantalona #calçafeminina #tiktokshop</x:v>
      </x:c>
      <x:c r="S29" s="16" t="str">
        <x:v>Você também sofre com [DOR]? Olha o que eu encontrei. Mostre [DETALHE 1], [DETALHE 2] e [PROVA VISUAL]. Feche com um convite neutro para conferir o produto.</x:v>
      </x:c>
      <x:c r="T29" s="16" t="str">
        <x:v>Moderado</x:v>
      </x:c>
      <x:c r="U29" s="16" t="str">
        <x:v>Transcrição utilizável como referência editorial; validar alegações comerciais antes de adaptar.</x:v>
      </x:c>
      <x:c r="V29" s="16" t="str">
        <x:v>https://www.tiktok.com/@nycollelimaa/video/7663556817318006023</x:v>
      </x:c>
      <x:c r="W29" s="16" t="str">
        <x:v>D:\Projetos\TiktokShop\Transcricoes TikTok 2026-08-04\04_tiktok_7663556817318006023_transcricao.md</x:v>
      </x:c>
    </x:row>
    <x:row r="30">
      <x:c r="A30" s="16" t="n">
        <x:v>29</x:v>
      </x:c>
      <x:c r="B30" s="16" t="str">
        <x:v>​7665004158394666248</x:v>
      </x:c>
      <x:c r="C30" s="16" t="str">
        <x:v>@nycollelimaa</x:v>
      </x:c>
      <x:c r="D30" s="16" t="str">
        <x:v>Calça pantalona</x:v>
      </x:c>
      <x:c r="E30" s="16" t="str">
        <x:v>23 segundos</x:v>
      </x:c>
      <x:c r="F30" s="16" t="str">
        <x:v>Copy falada</x:v>
      </x:c>
      <x:c r="G30" s="16" t="str">
        <x:v>Alta</x:v>
      </x:c>
      <x:c r="H30" s="16" t="str">
        <x:v>Depoimento pessoal</x:v>
      </x:c>
      <x:c r="I30" s="16" t="str">
        <x:v>Identidade/desejo</x:v>
      </x:c>
      <x:c r="J30" s="16" t="str">
        <x:v>Eu falo pra vocês, né, que tem que se controlar com essa calça amarrante, amigas.</x:v>
      </x:c>
      <x:c r="K30" s="16" t="str">
        <x:v>Eu tinha a beige, agora eu comprei a marrom, porque, olha isso aqui, pro pra vocês que eu não aguentei, gente, mas essa marrom aqui, ela tá assim, de parabéns. Olha essa calça, estilo pantalona, inclusive, ó, a barra dela é gigante pras mulheres mais altas. Dando o corpo confortável, o tecido é maravilhoso, não fica transparente. Nossa chique elegante, amiga, por menos de 80 reais, é aonde você encontra, né.</x:v>
      </x:c>
      <x:c r="L30" s="16" t="str">
        <x:v>Eu tinha a beige, agora eu comprei a marrom, porque, olha isso aqui, Olha essa calça, estilo pantalona, inclusive, ó, a barra dela é gigante pras mulheres mais altas. Dando o corpo confortável, o tecido é maravilhoso, não fica transparente.</x:v>
      </x:c>
      <x:c r="M30" s="16" t="str">
        <x:v>Dando o corpo confortável, o tecido é maravilhoso, não fica transparente.</x:v>
      </x:c>
      <x:c r="N30" s="16" t="str">
        <x:v>Nossa chique elegante, amiga, por menos de 80 reais, é aonde você encontra, né.</x:v>
      </x:c>
      <x:c r="O30" s="16" t="str">
        <x:v>Urgência condicional</x:v>
      </x:c>
      <x:c r="P30" s="16" t="str">
        <x:v>Deixa o link aqui, pra você já correr, garantia a sua.</x:v>
      </x:c>
      <x:c r="Q30" s="16" t="str">
        <x:v>#roupafeminina #calçapantalona #modafeminina</x:v>
      </x:c>
      <x:c r="R30" s="16" t="str">
        <x:v>#roupafeminina #calçapantalona #modafeminina</x:v>
      </x:c>
      <x:c r="S30" s="16" t="str">
        <x:v>Quem gosta de [DESEJO/ESTILO] vai amar [PRODUTO]. Mostre [DETALHE 1], [DETALHE 2] e [PROVA VISUAL]. Feche com um convite neutro para conferir o produto.</x:v>
      </x:c>
      <x:c r="T30" s="16" t="str">
        <x:v>Moderado</x:v>
      </x:c>
      <x:c r="U30" s="16" t="str">
        <x:v>Transcrição utilizável como referência editorial; validar alegações comerciais antes de adaptar.</x:v>
      </x:c>
      <x:c r="V30" s="16" t="str">
        <x:v>https://www.tiktok.com/@nycollelimaa/video/7665004158394666248</x:v>
      </x:c>
      <x:c r="W30" s="16" t="str">
        <x:v>D:\Projetos\TiktokShop\Transcricoes TikTok 2026-08-04\17_tiktok_7665004158394666248_transcricao.md</x:v>
      </x:c>
    </x:row>
    <x:row r="31">
      <x:c r="A31" s="16" t="n">
        <x:v>30</x:v>
      </x:c>
      <x:c r="B31" s="16" t="str">
        <x:v>​7665421947328630023</x:v>
      </x:c>
      <x:c r="C31" s="16" t="str">
        <x:v>@estheralg</x:v>
      </x:c>
      <x:c r="D31" s="16" t="str">
        <x:v>Calça pantalona</x:v>
      </x:c>
      <x:c r="E31" s="16" t="str">
        <x:v>26 segundos</x:v>
      </x:c>
      <x:c r="F31" s="16" t="str">
        <x:v>Copy falada</x:v>
      </x:c>
      <x:c r="G31" s="16" t="str">
        <x:v>Alta</x:v>
      </x:c>
      <x:c r="H31" s="16" t="str">
        <x:v>Identidade/prova social</x:v>
      </x:c>
      <x:c r="I31" s="16" t="str">
        <x:v>Identidade/desejo</x:v>
      </x:c>
      <x:c r="J31" s="16" t="str">
        <x:v>Toda mulher tem que ter uma calça dessa.</x:v>
      </x:c>
      <x:c r="K31" s="16" t="str">
        <x:v>Olhem só, amigas, uma calça em alfetaria, elegantíssima, tá? Um tecido com caimento maravilhoso e o melhor de tudo, ela não fica transparente. Olhem ela atrás, como que ela veste super bem. Uma modelagem maravilhosa, e ela ainda vem com uma cordinha pra você poder regular na cintura. Perfeita, né? Eu vou deixá-la aqui nesse carinho laranja pra você clicar. Já escolheu o seu tamanho na sua cor preferida.</x:v>
      </x:c>
      <x:c r="L31" s="16" t="str">
        <x:v>Um tecido com caimento maravilhoso e o melhor de tudo, ela não fica transparente. Olhem ela atrás, como que ela veste super bem.</x:v>
      </x:c>
      <x:c r="M31" s="16" t="str">
        <x:v>Um tecido com caimento maravilhoso e o melhor de tudo, ela não fica transparente.</x:v>
      </x:c>
      <x:c r="N31" s="16" t="str"/>
      <x:c r="O31" s="16" t="str">
        <x:v>Urgência condicional</x:v>
      </x:c>
      <x:c r="P31" s="16" t="str">
        <x:v>Amiga, corre, porque ela tá em alfetaria.</x:v>
      </x:c>
      <x:c r="Q31" s="16" t="str">
        <x:v>A calça que toda mulher tem que ter #modafeminina #tiktokshop #lookelegante #calcaalfaiataria</x:v>
      </x:c>
      <x:c r="R31" s="16" t="str">
        <x:v>#modafeminina #tiktokshop #lookelegante #calcaalfaiataria</x:v>
      </x:c>
      <x:c r="S31" s="16" t="str">
        <x:v>Quem gosta de [DESEJO/ESTILO] vai amar [PRODUTO]. Mostre [DETALHE 1], [DETALHE 2] e [PROVA VISUAL]. Feche com um convite neutro para conferir o produto.</x:v>
      </x:c>
      <x:c r="T31" s="16" t="str">
        <x:v>Baixo</x:v>
      </x:c>
      <x:c r="U31" s="16" t="str">
        <x:v>Transcrição utilizável como referência editorial; validar alegações comerciais antes de adaptar.</x:v>
      </x:c>
      <x:c r="V31" s="16" t="str">
        <x:v>https://www.tiktok.com/@estheralg/video/7665421947328630023</x:v>
      </x:c>
      <x:c r="W31" s="16" t="str">
        <x:v>D:\Projetos\TiktokShop\Transcricoes TikTok 2026-08-04\01_tiktok_7665421947328630023_transcricao.md</x:v>
      </x:c>
    </x:row>
    <x:row r="32">
      <x:c r="A32" s="16" t="n">
        <x:v>31</x:v>
      </x:c>
      <x:c r="B32" s="16" t="str">
        <x:v>​7665500601802870037</x:v>
      </x:c>
      <x:c r="C32" s="16" t="str">
        <x:v>@meeryrocha</x:v>
      </x:c>
      <x:c r="D32" s="16" t="str">
        <x:v>Calça pantalona</x:v>
      </x:c>
      <x:c r="E32" s="16" t="str">
        <x:v>55 segundos</x:v>
      </x:c>
      <x:c r="F32" s="16" t="str">
        <x:v>Copy falada</x:v>
      </x:c>
      <x:c r="G32" s="16" t="str">
        <x:v>Alta</x:v>
      </x:c>
      <x:c r="H32" s="16" t="str">
        <x:v>Checklist técnico</x:v>
      </x:c>
      <x:c r="I32" s="16" t="str">
        <x:v>Depoimento/confissão</x:v>
      </x:c>
      <x:c r="J32" s="16" t="str">
        <x:v>Quando eu compro calça de alfaetaria, alguns pontos me chamam a atenção.</x:v>
      </x:c>
      <x:c r="K32" s="16" t="str">
        <x:v>Essa calça aqui está aqui no carrinho laranja, está primeiro de tudo. Qual é o tecido da calça? Esse tecido aqui é aquele tecido marran, que parece com linho, sabe, de extrema qualidade. Outro ponto importante é a composição e ele é 90% viscose, tá? Ponto importante também é a com a acabamento. Desculpa, o acabamento dela é perfeito, maravilhoso. Botão e fechiclé ou zipe precisam ser da mesma, mesma cor da calça ou muito parecido, tá? Essa cordinha, ela sai, você pode usar com passante, se você preferir. O bolso tem que ter o mesmo tecido da calça, porque eu acho que é mais resistente e ser cintura alta. Calça de alfaetaria no meu corpo precisa ser cintura alta, porque fica muito mais elegante, tá? Beijo, tchau!</x:v>
      </x:c>
      <x:c r="L32" s="16" t="str"/>
      <x:c r="M32" s="16" t="str">
        <x:v>Aqui no carrinho laranja tem várias cores e tamanho, mas qualquer dúvida, deixe nos comentários que eu te ajudo.</x:v>
      </x:c>
      <x:c r="N32" s="16" t="str"/>
      <x:c r="O32" s="16" t="str">
        <x:v>Comentário/assistência</x:v>
      </x:c>
      <x:c r="P32" s="16" t="str">
        <x:v>Aqui no carrinho laranja tem várias cores e tamanho, mas qualquer dúvida, deixe nos comentários que eu te ajudo.</x:v>
      </x:c>
      <x:c r="Q32" s="16" t="str">
        <x:v>Calça de alfaiataria, pantalona e tecido Marrant</x:v>
      </x:c>
      <x:c r="R32" s="16" t="str"/>
      <x:c r="S32" s="16" t="str">
        <x:v>Eu comprei [PRODUTO] sem esperar muito, mas [PROVA]. Apresente dois detalhes comprovados do produto. Feche com um convite neutro para conferir o produto.</x:v>
      </x:c>
      <x:c r="T32" s="16" t="str">
        <x:v>Baixo</x:v>
      </x:c>
      <x:c r="U32" s="16" t="str">
        <x:v>Transcrição utilizável como referência editorial; validar alegações comerciais antes de adaptar.</x:v>
      </x:c>
      <x:c r="V32" s="16" t="str">
        <x:v>https://www.tiktok.com/@meeryrocha/video/7665500601802870037</x:v>
      </x:c>
      <x:c r="W32" s="16" t="str">
        <x:v>D:\Projetos\TiktokShop\Transcricoes TikTok 2026-08-04\19_tiktok_7665500601802870037_transcricao.md</x:v>
      </x:c>
    </x:row>
    <x:row r="33">
      <x:c r="A33" s="16" t="n">
        <x:v>32</x:v>
      </x:c>
      <x:c r="B33" s="16" t="str">
        <x:v>​7666837036673879304</x:v>
      </x:c>
      <x:c r="C33" s="16" t="str">
        <x:v>@jaquelinetavares010</x:v>
      </x:c>
      <x:c r="D33" s="16" t="str">
        <x:v>Calça pantalona</x:v>
      </x:c>
      <x:c r="E33" s="16" t="str">
        <x:v>23 segundos</x:v>
      </x:c>
      <x:c r="F33" s="16" t="str">
        <x:v>Copy falada</x:v>
      </x:c>
      <x:c r="G33" s="16" t="str">
        <x:v>Alta</x:v>
      </x:c>
      <x:c r="H33" s="16" t="str">
        <x:v>Depoimento pessoal</x:v>
      </x:c>
      <x:c r="I33" s="16" t="str">
        <x:v>Identidade/desejo</x:v>
      </x:c>
      <x:c r="J33" s="16" t="str">
        <x:v>Meninas, olha essa calça lindíssima, calça social que eu trouxe pra vocês hoje, maravilhosa,</x:v>
      </x:c>
      <x:c r="K33" s="16" t="str"/>
      <x:c r="L33" s="16" t="str"/>
      <x:c r="M33" s="16" t="str"/>
      <x:c r="N33" s="16" t="str">
        <x:v>e garanta a calça de vocês, porque meninas, ela está no preço maravilhoso, viu?</x:v>
      </x:c>
      <x:c r="O33" s="16" t="str">
        <x:v>Carrinho</x:v>
      </x:c>
      <x:c r="P33" s="16" t="str">
        <x:v>tem várias cores, tá? Então já dá uma olhadinha aqui no carrinho laranja, olha só meninas, que super lindã, e garanta a calça de vocês, porque meninas, ela está no preço maravilhoso, viu?</x:v>
      </x:c>
      <x:c r="Q33" s="16" t="str">
        <x:v>#creatorsearchinsights #modafemininatiktok💕 calça cintura alta pantalona várias cores, veste do P ao G 3!</x:v>
      </x:c>
      <x:c r="R33" s="16" t="str">
        <x:v>#creatorsearchinsights #modafemininatiktok</x:v>
      </x:c>
      <x:c r="S33" s="16" t="str">
        <x:v>Quem gosta de [DESEJO/ESTILO] vai amar [PRODUTO]. Apresente dois detalhes comprovados do produto. Feche com um convite neutro para conferir o produto.</x:v>
      </x:c>
      <x:c r="T33" s="16" t="str">
        <x:v>Baixo</x:v>
      </x:c>
      <x:c r="U33" s="16" t="str">
        <x:v>Transcrição utilizável como referência editorial; validar alegações comerciais antes de adaptar.</x:v>
      </x:c>
      <x:c r="V33" s="16" t="str">
        <x:v>https://www.tiktok.com/@jaquelinetavares010/video/7666837036673879304</x:v>
      </x:c>
      <x:c r="W33" s="16" t="str">
        <x:v>D:\Projetos\TiktokShop\Transcricoes TikTok 2026-08-04\12_tiktok_7666837036673879304_transcricao.md</x:v>
      </x:c>
    </x:row>
    <x:row r="34">
      <x:c r="A34" s="16" t="n">
        <x:v>33</x:v>
      </x:c>
      <x:c r="B34" s="16" t="str">
        <x:v>​7666948943414136082</x:v>
      </x:c>
      <x:c r="C34" s="16" t="str">
        <x:v>@nycollelimaa</x:v>
      </x:c>
      <x:c r="D34" s="16" t="str">
        <x:v>Calça pantalona</x:v>
      </x:c>
      <x:c r="E34" s="16" t="str">
        <x:v>32 segundos</x:v>
      </x:c>
      <x:c r="F34" s="16" t="str">
        <x:v>Copy falada</x:v>
      </x:c>
      <x:c r="G34" s="16" t="str">
        <x:v>Baixa</x:v>
      </x:c>
      <x:c r="H34" s="16" t="str">
        <x:v>Apresentação de benefícios</x:v>
      </x:c>
      <x:c r="I34" s="16" t="str">
        <x:v>Declaração direta</x:v>
      </x:c>
      <x:c r="J34" s="16" t="str">
        <x:v>Essa calça maravilhosa foi tipo assim, um achado pra mim aqui no TikTok.</x:v>
      </x:c>
      <x:c r="K34" s="16" t="str">
        <x:v>Eu amo ela, vou já deixar o link aí pra você, tá? Ela é perfeita, tem várias cores por níveis e, amigo, eu te falei o preço, que ela custa menos que 70 reais. Não sei como, porque é uma calça realmente maravilhosa, você pode usar ela até cintura mais alta assim, se você preferir, ou abaixar ela assim, ela tem esse estilo plantalona mais larguinho, bem com dois bolsas aqui na frente, esse cintinho pra você amarrar. Tem uma cor mais linda que a outra e vai até o G3. É a calça perfeita, gente, eu amo essa calça aqui de verdade.</x:v>
      </x:c>
      <x:c r="L34" s="16" t="str"/>
      <x:c r="M34" s="16" t="str"/>
      <x:c r="N34" s="16" t="str">
        <x:v>Ela é perfeita, tem várias cores por níveis e, amigo, eu te falei o preço, que ela custa menos que 70 reais.</x:v>
      </x:c>
      <x:c r="O34" s="16" t="str">
        <x:v>Link</x:v>
      </x:c>
      <x:c r="P34" s="16" t="str">
        <x:v>Tchau, link que é isso de acordes pra você garantir açúcar.</x:v>
      </x:c>
      <x:c r="Q34" s="16" t="str">
        <x:v>Respondendo a @usernanda_ff</x:v>
      </x:c>
      <x:c r="R34" s="16" t="str"/>
      <x:c r="S34" s="16" t="str">
        <x:v>[PRODUTO] entrega [RESULTADO OBSERVÁVEL] de um jeito simples. Apresente dois detalhes comprovados do produto. Feche com um convite neutro para conferir o produto.</x:v>
      </x:c>
      <x:c r="T34" s="16" t="str">
        <x:v>Moderado</x:v>
      </x:c>
      <x:c r="U34" s="16" t="str">
        <x:v>Transcrição automática com trechos possivelmente corrompidos; revisar o áudio antes de reutilizar literalmente.</x:v>
      </x:c>
      <x:c r="V34" s="16" t="str">
        <x:v>https://www.tiktok.com/@nycollelimaa/video/7666948943414136082</x:v>
      </x:c>
      <x:c r="W34" s="16" t="str">
        <x:v>D:\Projetos\TiktokShop\Transcricoes TikTok 2026-08-04\18_tiktok_7666948943414136082_transcricao.md</x:v>
      </x:c>
    </x:row>
    <x:row r="35">
      <x:c r="A35" s="16" t="n">
        <x:v>34</x:v>
      </x:c>
      <x:c r="B35" s="16" t="str">
        <x:v>​7667633710447136008</x:v>
      </x:c>
      <x:c r="C35" s="16" t="str">
        <x:v>@nycollelimaa</x:v>
      </x:c>
      <x:c r="D35" s="16" t="str">
        <x:v>Calça pantalona</x:v>
      </x:c>
      <x:c r="E35" s="16" t="str">
        <x:v>27 segundos</x:v>
      </x:c>
      <x:c r="F35" s="16" t="str">
        <x:v>Copy falada</x:v>
      </x:c>
      <x:c r="G35" s="16" t="str">
        <x:v>Alta</x:v>
      </x:c>
      <x:c r="H35" s="16" t="str">
        <x:v>Depoimento pessoal</x:v>
      </x:c>
      <x:c r="I35" s="16" t="str">
        <x:v>Identidade/desejo</x:v>
      </x:c>
      <x:c r="J35" s="16" t="str">
        <x:v>Amiga, essa daqui é uma calça marrante que eu comprei aqui no TikTok também.</x:v>
      </x:c>
      <x:c r="K35" s="16" t="str">
        <x:v>Vou deixar o link dela embaixo. Essa calça é maravilhosa, gente, porque ela simplesmente custa menos que R$70, ela vai até o plus size, até o G3, fica lindando o corpo elegante, serve para várias ocasiões. Gente, ela vai super bem, tá? Tem esses dois bolsos aqui na frente. Eu tenho a beige e essa marrom, gente, essa calça é perfeita. Ela tem esse estilo plantalona que eu amo, amiga.</x:v>
      </x:c>
      <x:c r="L35" s="16" t="str"/>
      <x:c r="M35" s="16" t="str"/>
      <x:c r="N35" s="16" t="str">
        <x:v>Essa calça é maravilhosa, gente, porque ela simplesmente custa menos que R$70,</x:v>
      </x:c>
      <x:c r="O35" s="16" t="str">
        <x:v>Link</x:v>
      </x:c>
      <x:c r="P35" s="16" t="str">
        <x:v>Vou deixar o link aqui para você garantir a sua.</x:v>
      </x:c>
      <x:c r="Q35" s="16" t="str">
        <x:v>Respondendo a @Dayane</x:v>
      </x:c>
      <x:c r="R35" s="16" t="str"/>
      <x:c r="S35" s="16" t="str">
        <x:v>Quem gosta de [DESEJO/ESTILO] vai amar [PRODUTO]. Apresente dois detalhes comprovados do produto. Feche com um convite neutro para conferir o produto.</x:v>
      </x:c>
      <x:c r="T35" s="16" t="str">
        <x:v>Moderado</x:v>
      </x:c>
      <x:c r="U35" s="16" t="str">
        <x:v>Transcrição utilizável como referência editorial; validar alegações comerciais antes de adaptar.</x:v>
      </x:c>
      <x:c r="V35" s="16" t="str">
        <x:v>https://www.tiktok.com/@nycollelimaa/video/7667633710447136008</x:v>
      </x:c>
      <x:c r="W35" s="16" t="str">
        <x:v>D:\Projetos\TiktokShop\Transcricoes TikTok 2026-08-04\14_tiktok_7667633710447136008_transcricao.md</x:v>
      </x:c>
    </x:row>
    <x:row r="36">
      <x:c r="A36" s="16" t="n">
        <x:v>35</x:v>
      </x:c>
      <x:c r="B36" s="16" t="str">
        <x:v>​7668272560206794002</x:v>
      </x:c>
      <x:c r="C36" s="16" t="str">
        <x:v>@nycollelimaa</x:v>
      </x:c>
      <x:c r="D36" s="16" t="str">
        <x:v>Calça pantalona</x:v>
      </x:c>
      <x:c r="E36" s="16" t="str">
        <x:v>33 segundos</x:v>
      </x:c>
      <x:c r="F36" s="16" t="str">
        <x:v>Copy falada</x:v>
      </x:c>
      <x:c r="G36" s="16" t="str">
        <x:v>Alta</x:v>
      </x:c>
      <x:c r="H36" s="16" t="str">
        <x:v>Dor &gt; solução</x:v>
      </x:c>
      <x:c r="I36" s="16" t="str">
        <x:v>Problema/curiosidade</x:v>
      </x:c>
      <x:c r="J36" s="16" t="str">
        <x:v>Eu vou deixar o link dela aqui. E o único problema de comprar essa calça é que eu tenho certeza que você vai querer outras cores também.</x:v>
      </x:c>
      <x:c r="K36" s="16" t="str">
        <x:v>Eu comprei essa marrom aqui, mas eu já tinha beijo, porque gente, essa calça é maravilhosa. Ela fica muito linda no corpo, veste super bem, é estilo pantalão, inclusive, ó. Para as mulheres que também são altas, porque eu tenho uns 70, gente. A barra dela é gigante, eu vou até ter que mandar fazer. Maravilhosa, tem um tecido grosso, as cores claras não ficam nos parentes. É uma calça assim que você tem que ter no guarda-roupa, porque é curinga, ela serve para várias ocasiões.</x:v>
      </x:c>
      <x:c r="L36" s="16" t="str">
        <x:v>Eu comprei essa marrom aqui, mas eu já tinha beijo, porque gente, essa calça é maravilhosa. Ela fica muito linda no corpo, veste super bem, é estilo pantalão, inclusive, ó. Maravilhosa, tem um tecido grosso, as cores claras não ficam nos parentes. É uma calça assim que você tem que ter no guarda-roupa, porque é curinga, ela serve para várias ocasiões.</x:v>
      </x:c>
      <x:c r="M36" s="16" t="str">
        <x:v>Eu vou deixar o link dela aqui. E o único problema de comprar essa calça é que eu tenho certeza que você vai querer outras cores também.</x:v>
      </x:c>
      <x:c r="N36" s="16" t="str">
        <x:v>Vou deixar o link aí e ela custa menos 70 reais, tá? Vou deixar o link aí para você garantir a sua.</x:v>
      </x:c>
      <x:c r="O36" s="16" t="str">
        <x:v>Link</x:v>
      </x:c>
      <x:c r="P36" s="16" t="str">
        <x:v>Vou deixar o link aí e ela custa menos 70 reais, tá? Vou deixar o link aí para você garantir a sua.</x:v>
      </x:c>
      <x:c r="Q36" s="16" t="str">
        <x:v>Respondendo a @morena</x:v>
      </x:c>
      <x:c r="R36" s="16" t="str"/>
      <x:c r="S36" s="16" t="str">
        <x:v>O problema de [SITUAÇÃO] é [DOR]. Foi aí que encontrei [PRODUTO]. Mostre [DETALHE 1], [DETALHE 2] e [PROVA VISUAL]. Feche com um convite neutro para conferir o produto.</x:v>
      </x:c>
      <x:c r="T36" s="16" t="str">
        <x:v>Moderado</x:v>
      </x:c>
      <x:c r="U36" s="16" t="str">
        <x:v>Transcrição utilizável como referência editorial; validar alegações comerciais antes de adaptar.</x:v>
      </x:c>
      <x:c r="V36" s="16" t="str">
        <x:v>https://www.tiktok.com/@nycollelimaa/video/7668272560206794002</x:v>
      </x:c>
      <x:c r="W36" s="16" t="str">
        <x:v>D:\Projetos\TiktokShop\Transcricoes TikTok 2026-08-04\09_tiktok_7668272560206794002_transcricao.md</x:v>
      </x:c>
    </x:row>
    <x:row r="37">
      <x:c r="A37" s="16" t="n">
        <x:v>36</x:v>
      </x:c>
      <x:c r="B37" s="16" t="str">
        <x:v>​7668776822292712724</x:v>
      </x:c>
      <x:c r="C37" s="16" t="str">
        <x:v>@soucarolmoreno</x:v>
      </x:c>
      <x:c r="D37" s="16" t="str">
        <x:v>Calça pantalona</x:v>
      </x:c>
      <x:c r="E37" s="16" t="str">
        <x:v>10 segundos</x:v>
      </x:c>
      <x:c r="F37" s="16" t="str">
        <x:v>Copy falada</x:v>
      </x:c>
      <x:c r="G37" s="16" t="str">
        <x:v>Alta</x:v>
      </x:c>
      <x:c r="H37" s="16" t="str">
        <x:v>Identidade/prova social</x:v>
      </x:c>
      <x:c r="I37" s="16" t="str">
        <x:v>Trend/prova social</x:v>
      </x:c>
      <x:c r="J37" s="16" t="str">
        <x:v>Essa calça pantalona com amarração está viralizada. Ela veste super bem.</x:v>
      </x:c>
      <x:c r="K37" s="16" t="str"/>
      <x:c r="L37" s="16" t="str"/>
      <x:c r="M37" s="16" t="str"/>
      <x:c r="N37" s="16" t="str"/>
      <x:c r="O37" s="16" t="str">
        <x:v>Link</x:v>
      </x:c>
      <x:c r="P37" s="16" t="str">
        <x:v>Se eu fosse você, clicava no link para adquirir a sua.</x:v>
      </x:c>
      <x:c r="Q37" s="16" t="str">
        <x:v>#calçapantalona #calçafeminina #calça #modafeminina #calçasocial</x:v>
      </x:c>
      <x:c r="R37" s="16" t="str">
        <x:v>#calçapantalona #calçafeminina #calça #modafeminina #calçasocial</x:v>
      </x:c>
      <x:c r="S37" s="16" t="str">
        <x:v>Todo mundo está usando [PRODUTO], e agora eu entendi por quê. Apresente dois detalhes comprovados do produto. Feche com um convite neutro para conferir o produto.</x:v>
      </x:c>
      <x:c r="T37" s="16" t="str">
        <x:v>Baixo</x:v>
      </x:c>
      <x:c r="U37" s="16" t="str">
        <x:v>Transcrição utilizável como referência editorial; validar alegações comerciais antes de adaptar.</x:v>
      </x:c>
      <x:c r="V37" s="16" t="str">
        <x:v>https://www.tiktok.com/@soucarolmoreno/video/7668776822292712724</x:v>
      </x:c>
      <x:c r="W37" s="16" t="str">
        <x:v>D:\Projetos\TiktokShop\Transcricoes TikTok 2026-08-04\15_tiktok_7668776822292712724_transcricao.md</x:v>
      </x:c>
    </x:row>
    <x:row r="38">
      <x:c r="A38" s="16" t="n">
        <x:v>37</x:v>
      </x:c>
      <x:c r="B38" s="16" t="str">
        <x:v>​7656174686430154005</x:v>
      </x:c>
      <x:c r="C38" s="16" t="str">
        <x:v>@carlabrunoassis</x:v>
      </x:c>
      <x:c r="D38" s="16" t="str">
        <x:v>Camisola</x:v>
      </x:c>
      <x:c r="E38" s="16" t="str">
        <x:v>34 segundos</x:v>
      </x:c>
      <x:c r="F38" s="16" t="str">
        <x:v>Copy falada</x:v>
      </x:c>
      <x:c r="G38" s="16" t="str">
        <x:v>Alta</x:v>
      </x:c>
      <x:c r="H38" s="16" t="str">
        <x:v>Dor &gt; solução</x:v>
      </x:c>
      <x:c r="I38" s="16" t="str">
        <x:v>Preço/choque</x:v>
      </x:c>
      <x:c r="J38" s="16" t="str">
        <x:v>Se você tá brigada com seu marido, eu tenho aqui a solução por menos de 30 reais.</x:v>
      </x:c>
      <x:c r="K38" s="16" t="str">
        <x:v>Essa é a camisola mais linda do TikTok Shop, ela é de rendinha, tem um lacinho. Tem esse franzido no bumbum, que deixa o volume dele bem maior. Aqui na frente ela também é toda de rendinha, tem esse lacinho e alça é ajustável. O tecido é uma delícia, super confortável, ela ainda vem com uma calcinha da mesma cor. Olha como ela modela o corpo, gente, esse corte aqui, ó, em V. Ele é maravilhosa. Nunca foi tão barato, se sentir bonitona em casa assim.</x:v>
      </x:c>
      <x:c r="L38" s="16" t="str">
        <x:v>Olha como ela modela o corpo, gente, esse corte aqui, ó, em V. Ele é maravilhosa.</x:v>
      </x:c>
      <x:c r="M38" s="16" t="str">
        <x:v>Nunca foi tão barato, se sentir bonitona em casa assim.</x:v>
      </x:c>
      <x:c r="N38" s="16" t="str">
        <x:v>Se você tá brigada com seu marido, eu tenho aqui a solução por menos de 30 reais. Tudo isso por esse valorzinho que eu deixei aqui nesse carrinho laranja. Nunca foi tão barato, se sentir bonitona em casa assim.</x:v>
      </x:c>
      <x:c r="O38" s="16" t="str">
        <x:v>Carrinho</x:v>
      </x:c>
      <x:c r="P38" s="16" t="str">
        <x:v>Tudo isso por esse valorzinho que eu deixei aqui nesse carrinho laranja.</x:v>
      </x:c>
      <x:c r="Q38" s="16" t="str">
        <x:v>Perfeita e baratinha demais! A minha é P cor rubro 🥰 #camisolarenda #babydoll #babydolls #camisola #camisolas</x:v>
      </x:c>
      <x:c r="R38" s="16" t="str">
        <x:v>#camisolarenda #babydoll #babydolls #camisola #camisolas</x:v>
      </x:c>
      <x:c r="S38" s="16" t="str">
        <x:v>[QUANTIDADE/PRODUTO] por [PREÇO]? Eu achei que era pegadinha. Mostre [DETALHE 1], [DETALHE 2] e [PROVA VISUAL]. Feche com um convite neutro para conferir o produto.</x:v>
      </x:c>
      <x:c r="T38" s="16" t="str">
        <x:v>Moderado</x:v>
      </x:c>
      <x:c r="U38" s="16" t="str">
        <x:v>Transcrição utilizável como referência editorial; validar alegações comerciais antes de adaptar.</x:v>
      </x:c>
      <x:c r="V38" s="16" t="str">
        <x:v>https://www.tiktok.com/@carlabrunoassis/video/7656174686430154005</x:v>
      </x:c>
      <x:c r="W38" s="16" t="str">
        <x:v>D:\Projetos\TiktokShop\Transcricao TikTok 2026-08-03 carlabrunoassis 7656174686430154005\01_tiktok_7656174686430154005_transcricao.md</x:v>
      </x:c>
    </x:row>
    <x:row r="39">
      <x:c r="A39" s="16" t="n">
        <x:v>38</x:v>
      </x:c>
      <x:c r="B39" s="16" t="str">
        <x:v>​7621919530511650068</x:v>
      </x:c>
      <x:c r="C39" s="16" t="str">
        <x:v>@suhvrubleski</x:v>
      </x:c>
      <x:c r="D39" s="16" t="str">
        <x:v>Cinta modeladora</x:v>
      </x:c>
      <x:c r="E39" s="16" t="str">
        <x:v>24,22 s</x:v>
      </x:c>
      <x:c r="F39" s="16" t="str">
        <x:v>Resumo estruturado; copy literal indisponível</x:v>
      </x:c>
      <x:c r="G39" s="16" t="str">
        <x:v>Estrutural</x:v>
      </x:c>
      <x:c r="H39" s="16" t="str">
        <x:v>Apresentação de benefícios</x:v>
      </x:c>
      <x:c r="I39" s="16" t="str">
        <x:v>Preço/choque</x:v>
      </x:c>
      <x:c r="J39" s="16" t="str">
        <x:v>Cinta modeladora por apenas R$16.</x:v>
      </x:c>
      <x:c r="K39" s="16" t="str">
        <x:v>Áudio informativo ressalva que a cinta não reduz diretamente a cintura e explica pressão abdominal e apoio postural.</x:v>
      </x:c>
      <x:c r="L39" s="16" t="str">
        <x:v>Demonstração do produto, fechamento e vistas laterais.</x:v>
      </x:c>
      <x:c r="M39" s="16" t="str">
        <x:v>Expectativa de redução direta da cintura.</x:v>
      </x:c>
      <x:c r="N39" s="16" t="str">
        <x:v>Preço de R$16 aparece no texto visual.</x:v>
      </x:c>
      <x:c r="O39" s="16" t="str">
        <x:v>Sem CTA explícito</x:v>
      </x:c>
      <x:c r="P39" s="16" t="str">
        <x:v>Sem CTA explícito no relatório.</x:v>
      </x:c>
      <x:c r="Q39" s="16" t="str">
        <x:v>A autora declara ter gostado da cinta modeladora.</x:v>
      </x:c>
      <x:c r="R39" s="16" t="str">
        <x:v>#cintamodeladora #cinta #renatocariani #Fitness #fyp</x:v>
      </x:c>
      <x:c r="S39" s="16" t="str">
        <x:v>[QUANTIDADE/PRODUTO] por [PREÇO]? Eu achei que era pegadinha. Mostre [DETALHE 1], [DETALHE 2] e [PROVA VISUAL].</x:v>
      </x:c>
      <x:c r="T39" s="16" t="str">
        <x:v>Alto</x:v>
      </x:c>
      <x:c r="U39" s="16" t="str">
        <x:v>Estrutura derivada do relatório consolidado; não tratar como transcrição literal.</x:v>
      </x:c>
      <x:c r="V39" s="16" t="str">
        <x:v>https://www.tiktok.com/@suhvrubleski/video/7621919530511650068</x:v>
      </x:c>
      <x:c r="W39" s="16" t="str">
        <x:v>D:\Projetos\TiktokShop\Transcricoes TikTok 2026-08-11\00_analise_consolidada.md</x:v>
      </x:c>
    </x:row>
    <x:row r="40">
      <x:c r="A40" s="16" t="n">
        <x:v>39</x:v>
      </x:c>
      <x:c r="B40" s="16" t="str">
        <x:v>​7647264597598113044</x:v>
      </x:c>
      <x:c r="C40" s="16" t="str">
        <x:v>@llyssdaily</x:v>
      </x:c>
      <x:c r="D40" s="16" t="str">
        <x:v>Cinta modeladora</x:v>
      </x:c>
      <x:c r="E40" s="16" t="str">
        <x:v>56,69 s</x:v>
      </x:c>
      <x:c r="F40" s="16" t="str">
        <x:v>Resumo estruturado; copy literal indisponível</x:v>
      </x:c>
      <x:c r="G40" s="16" t="str">
        <x:v>Estrutural</x:v>
      </x:c>
      <x:c r="H40" s="16" t="str">
        <x:v>Apresentação de benefícios</x:v>
      </x:c>
      <x:c r="I40" s="16" t="str">
        <x:v>Declaração direta</x:v>
      </x:c>
      <x:c r="J40" s="16" t="str">
        <x:v>Fui inventar de usar a dica para deixar de ser quadrada.</x:v>
      </x:c>
      <x:c r="K40" s="16" t="str">
        <x:v>Compara imagens, rebate a objeção de preço, relata progressão de tamanhos e orienta a escolha do tamanho.</x:v>
      </x:c>
      <x:c r="L40" s="16" t="str">
        <x:v>Comparação de fotografias e demonstração da folga da roupa.</x:v>
      </x:c>
      <x:c r="M40" s="16" t="str">
        <x:v>Dúvida sobre resultado e preço.</x:v>
      </x:c>
      <x:c r="N40" s="16" t="str">
        <x:v>Compra na faixa de vinte reais declarada pela criadora.</x:v>
      </x:c>
      <x:c r="O40" s="16" t="str">
        <x:v>Link</x:v>
      </x:c>
      <x:c r="P40" s="16" t="str">
        <x:v>Direciona ao link do produto.</x:v>
      </x:c>
      <x:c r="Q40" s="16" t="str">
        <x:v>Post composto apenas por hashtags sobre moda feminina, beleza, mulheres e TikTok Shop.</x:v>
      </x:c>
      <x:c r="R40" s="16" t="str">
        <x:v>#fyy #TikTokShopBR66 #modafeminina #dicasdebeleza #mulheres</x:v>
      </x:c>
      <x:c r="S40" s="16" t="str">
        <x:v>[PRODUTO] entrega [RESULTADO OBSERVÁVEL] de um jeito simples. Mostre [DETALHE 1], [DETALHE 2] e [PROVA VISUAL]. Feche com um convite neutro para conferir o produto.</x:v>
      </x:c>
      <x:c r="T40" s="16" t="str">
        <x:v>Moderado</x:v>
      </x:c>
      <x:c r="U40" s="16" t="str">
        <x:v>Estrutura derivada do relatório consolidado; não tratar como transcrição literal.</x:v>
      </x:c>
      <x:c r="V40" s="16" t="str">
        <x:v>https://www.tiktok.com/@llyssdaily/video/7647264597598113044</x:v>
      </x:c>
      <x:c r="W40" s="16" t="str">
        <x:v>D:\Projetos\TiktokShop\Transcricoes TikTok 2026-08-11\00_analise_consolidada.md</x:v>
      </x:c>
    </x:row>
    <x:row r="41">
      <x:c r="A41" s="16" t="n">
        <x:v>40</x:v>
      </x:c>
      <x:c r="B41" s="16" t="str">
        <x:v>​7653117812482919688</x:v>
      </x:c>
      <x:c r="C41" s="16" t="str">
        <x:v>@jessicaandrade333</x:v>
      </x:c>
      <x:c r="D41" s="16" t="str">
        <x:v>Cinta modeladora</x:v>
      </x:c>
      <x:c r="E41" s="16" t="str">
        <x:v>13,20 s</x:v>
      </x:c>
      <x:c r="F41" s="16" t="str">
        <x:v>Sem copy falada; texto visual estruturado</x:v>
      </x:c>
      <x:c r="G41" s="16" t="str">
        <x:v>Estrutural</x:v>
      </x:c>
      <x:c r="H41" s="16" t="str">
        <x:v>Demonstração silenciosa/texto visual</x:v>
      </x:c>
      <x:c r="I41" s="16" t="str">
        <x:v>Preço/choque</x:v>
      </x:c>
      <x:c r="J41" s="16" t="str">
        <x:v>Testando a cinta baratinha do TikTok Shop.</x:v>
      </x:c>
      <x:c r="K41" s="16" t="str">
        <x:v>Texto visual demonstra flexibilidade, níveis de fechamento, barbatanas, ajuste, agachamento e uso sob a roupa.</x:v>
      </x:c>
      <x:c r="L41" s="16" t="str">
        <x:v>Teste visual de fechamento, movimento e uso sob a roupa.</x:v>
      </x:c>
      <x:c r="M41" s="16" t="str">
        <x:v>Medo de enrolar, marcar ou ser difícil de ajustar.</x:v>
      </x:c>
      <x:c r="N41" s="16" t="str">
        <x:v>Produto apresentado como barato, sem preço literal no relatório.</x:v>
      </x:c>
      <x:c r="O41" s="16" t="str">
        <x:v>Sem CTA explícito</x:v>
      </x:c>
      <x:c r="P41" s="16" t="str">
        <x:v>Sem CTA falado; conversão apoiada pela demonstração.</x:v>
      </x:c>
      <x:c r="Q41" s="16" t="str">
        <x:v>A autora diz que gostou do produto e que ele passou no teste.</x:v>
      </x:c>
      <x:c r="R41" s="16" t="str">
        <x:v>#cintamodelador #cinta #fypシ゚viral</x:v>
      </x:c>
      <x:c r="S41" s="16" t="str">
        <x:v>[QUANTIDADE/PRODUTO] por [PREÇO]? Eu achei que era pegadinha. Mostre [DETALHE 1], [DETALHE 2] e [PROVA VISUAL].</x:v>
      </x:c>
      <x:c r="T41" s="16" t="str">
        <x:v>Baixo</x:v>
      </x:c>
      <x:c r="U41" s="16" t="str">
        <x:v>Não há copy falada confiável; usar somente como referência visual/textual.</x:v>
      </x:c>
      <x:c r="V41" s="16" t="str">
        <x:v>https://www.tiktok.com/@jessicaandrade333/video/7653117812482919688</x:v>
      </x:c>
      <x:c r="W41" s="16" t="str">
        <x:v>D:\Projetos\TiktokShop\Transcricoes TikTok 2026-08-11\00_analise_consolidada.md</x:v>
      </x:c>
    </x:row>
    <x:row r="42">
      <x:c r="A42" s="16" t="n">
        <x:v>41</x:v>
      </x:c>
      <x:c r="B42" s="16" t="str">
        <x:v>​7653487619380202772</x:v>
      </x:c>
      <x:c r="C42" s="16" t="str">
        <x:v>@natheluy</x:v>
      </x:c>
      <x:c r="D42" s="16" t="str">
        <x:v>Cinta modeladora</x:v>
      </x:c>
      <x:c r="E42" s="16" t="str">
        <x:v>37,52 s</x:v>
      </x:c>
      <x:c r="F42" s="16" t="str">
        <x:v>Resumo estruturado; copy literal indisponível</x:v>
      </x:c>
      <x:c r="G42" s="16" t="str">
        <x:v>Estrutural</x:v>
      </x:c>
      <x:c r="H42" s="16" t="str">
        <x:v>Transformação/antes e depois</x:v>
      </x:c>
      <x:c r="I42" s="16" t="str">
        <x:v>Pergunta/dor</x:v>
      </x:c>
      <x:c r="J42" s="16" t="str">
        <x:v>Sua barriga mudou depois da gestação?</x:v>
      </x:c>
      <x:c r="K42" s="16" t="str">
        <x:v>Relata contexto pessoal de pós-cesárea e apresenta a cinta como solução de uso cotidiano.</x:v>
      </x:c>
      <x:c r="L42" s="16" t="str">
        <x:v>Demonstração da cinta no corpo.</x:v>
      </x:c>
      <x:c r="M42" s="16" t="str">
        <x:v>Gordura localizada e marca sob a roupa.</x:v>
      </x:c>
      <x:c r="N42" s="16" t="str">
        <x:v>Preço inferior a vinte e cinco reais declarado no vídeo.</x:v>
      </x:c>
      <x:c r="O42" s="16" t="str">
        <x:v>Carrinho</x:v>
      </x:c>
      <x:c r="P42" s="16" t="str">
        <x:v>Direciona ao carrinho e recomenda a compra.</x:v>
      </x:c>
      <x:c r="Q42" s="16" t="str">
        <x:v>Post composto apenas por hashtags sobre cinta, cintura, pós-parto e região abdominal.</x:v>
      </x:c>
      <x:c r="R42" s="16" t="str">
        <x:v>#cinta #cintamodeladora #cinturafina #posparto #pochete</x:v>
      </x:c>
      <x:c r="S42" s="16" t="str">
        <x:v>Você também sofre com [DOR]? Olha o que eu encontrei. Mostre [DETALHE 1], [DETALHE 2] e [PROVA VISUAL]. Feche com um convite neutro para conferir o produto.</x:v>
      </x:c>
      <x:c r="T42" s="16" t="str">
        <x:v>Alto</x:v>
      </x:c>
      <x:c r="U42" s="16" t="str">
        <x:v>Estrutura derivada do relatório consolidado; não tratar como transcrição literal.</x:v>
      </x:c>
      <x:c r="V42" s="16" t="str">
        <x:v>https://www.tiktok.com/@natheluy/video/7653487619380202772</x:v>
      </x:c>
      <x:c r="W42" s="16" t="str">
        <x:v>D:\Projetos\TiktokShop\Transcricoes TikTok 2026-08-11\00_analise_consolidada.md</x:v>
      </x:c>
    </x:row>
    <x:row r="43">
      <x:c r="A43" s="16" t="n">
        <x:v>42</x:v>
      </x:c>
      <x:c r="B43" s="16" t="str">
        <x:v>​7655419776734334228</x:v>
      </x:c>
      <x:c r="C43" s="16" t="str">
        <x:v>@natheluy</x:v>
      </x:c>
      <x:c r="D43" s="16" t="str">
        <x:v>Cinta modeladora</x:v>
      </x:c>
      <x:c r="E43" s="16" t="str">
        <x:v>36,78 s</x:v>
      </x:c>
      <x:c r="F43" s="16" t="str">
        <x:v>Resumo estruturado; copy literal indisponível</x:v>
      </x:c>
      <x:c r="G43" s="16" t="str">
        <x:v>Estrutural</x:v>
      </x:c>
      <x:c r="H43" s="16" t="str">
        <x:v>Transformação/antes e depois</x:v>
      </x:c>
      <x:c r="I43" s="16" t="str">
        <x:v>Pergunta/dor</x:v>
      </x:c>
      <x:c r="J43" s="16" t="str">
        <x:v>Sua barriga mudou depois da gestação?</x:v>
      </x:c>
      <x:c r="K43" s="16" t="str">
        <x:v>Apresenta a cinta como solução para incômodos abdominais no pós-parto e relata uso diário.</x:v>
      </x:c>
      <x:c r="L43" s="16" t="str">
        <x:v>Mostra a folga de um shorts que costuma usar.</x:v>
      </x:c>
      <x:c r="M43" s="16" t="str">
        <x:v>Mudança abdominal depois da gestação.</x:v>
      </x:c>
      <x:c r="N43" s="16" t="str">
        <x:v>Preço inferior a vinte e cinco reais declarado no carrinho.</x:v>
      </x:c>
      <x:c r="O43" s="16" t="str">
        <x:v>Carrinho</x:v>
      </x:c>
      <x:c r="P43" s="16" t="str">
        <x:v>Recomenda o produto e direciona ao carrinho.</x:v>
      </x:c>
      <x:c r="Q43" s="16" t="str">
        <x:v>Post composto apenas por hashtags relacionadas a cinta modeladora, pós-parto, cesárea, emagrecimento e maternidade.</x:v>
      </x:c>
      <x:c r="R43" s="16" t="str">
        <x:v>#cintamodeladora #posparto #cesarea #emagrecimento #maternidade</x:v>
      </x:c>
      <x:c r="S43" s="16" t="str">
        <x:v>Você também sofre com [DOR]? Olha o que eu encontrei. Mostre [DETALHE 1], [DETALHE 2] e [PROVA VISUAL]. Feche com um convite neutro para conferir o produto.</x:v>
      </x:c>
      <x:c r="T43" s="16" t="str">
        <x:v>Alto</x:v>
      </x:c>
      <x:c r="U43" s="16" t="str">
        <x:v>Estrutura derivada do relatório consolidado; não tratar como transcrição literal.</x:v>
      </x:c>
      <x:c r="V43" s="16" t="str">
        <x:v>https://www.tiktok.com/@natheluy/video/7655419776734334228</x:v>
      </x:c>
      <x:c r="W43" s="16" t="str">
        <x:v>D:\Projetos\TiktokShop\Transcricoes TikTok 2026-08-11\00_analise_consolidada.md</x:v>
      </x:c>
    </x:row>
    <x:row r="44">
      <x:c r="A44" s="16" t="n">
        <x:v>43</x:v>
      </x:c>
      <x:c r="B44" s="16" t="str">
        <x:v>​7660243292377959687</x:v>
      </x:c>
      <x:c r="C44" s="16" t="str">
        <x:v>@dicasjessicaimprota</x:v>
      </x:c>
      <x:c r="D44" s="16" t="str">
        <x:v>Cinta modeladora</x:v>
      </x:c>
      <x:c r="E44" s="16" t="str">
        <x:v>44,57 s</x:v>
      </x:c>
      <x:c r="F44" s="16" t="str">
        <x:v>Resumo estruturado; copy literal indisponível</x:v>
      </x:c>
      <x:c r="G44" s="16" t="str">
        <x:v>Estrutural</x:v>
      </x:c>
      <x:c r="H44" s="16" t="str">
        <x:v>Dor &gt; solução</x:v>
      </x:c>
      <x:c r="I44" s="16" t="str">
        <x:v>Problema/curiosidade</x:v>
      </x:c>
      <x:c r="J44" s="16" t="str">
        <x:v>Encontrei a solução para a minha pochete!</x:v>
      </x:c>
      <x:c r="K44" s="16" t="str">
        <x:v>Identifica a marca abdominal sob a roupa, mostra a cinta, exibe a silhueta com a peça e afirma que ela fica escondida sob a roupa.</x:v>
      </x:c>
      <x:c r="L44" s="16" t="str">
        <x:v>Demonstração frontal e lateral; informa que veste 42 e usa tamanho P.</x:v>
      </x:c>
      <x:c r="M44" s="16" t="str">
        <x:v>A região abdominal marcada sob a roupa.</x:v>
      </x:c>
      <x:c r="N44" s="16" t="str">
        <x:v>Oferta relâmpago mencionada no vídeo.</x:v>
      </x:c>
      <x:c r="O44" s="16" t="str">
        <x:v>Comentário/assistência</x:v>
      </x:c>
      <x:c r="P44" s="16" t="str">
        <x:v>Convida a comentar dúvidas sobre tamanho.</x:v>
      </x:c>
      <x:c r="Q44" s="16" t="str">
        <x:v>Apresenta a cinta como uma opção que não marca nem enrola sob a roupa, destacando o impacto no look e uma oferta vigente.</x:v>
      </x:c>
      <x:c r="R44" s="16" t="str">
        <x:v>#cintamodeladora #tiktokshopbrasil #achadinhos #modafeminina #ofertarelampago</x:v>
      </x:c>
      <x:c r="S44" s="16" t="str">
        <x:v>O problema de [SITUAÇÃO] é [DOR]. Foi aí que encontrei [PRODUTO]. Mostre [DETALHE 1], [DETALHE 2] e [PROVA VISUAL]. Feche com um convite neutro para conferir o produto.</x:v>
      </x:c>
      <x:c r="T44" s="16" t="str">
        <x:v>Moderado</x:v>
      </x:c>
      <x:c r="U44" s="16" t="str">
        <x:v>Estrutura derivada do relatório consolidado; não tratar como transcrição literal.</x:v>
      </x:c>
      <x:c r="V44" s="16" t="str">
        <x:v>https://www.tiktok.com/@dicasjessicaimprota/video/7660243292377959687</x:v>
      </x:c>
      <x:c r="W44" s="16" t="str">
        <x:v>D:\Projetos\TiktokShop\Transcricoes TikTok 2026-08-11\00_analise_consolidada.md</x:v>
      </x:c>
    </x:row>
    <x:row r="45">
      <x:c r="A45" s="16" t="n">
        <x:v>44</x:v>
      </x:c>
      <x:c r="B45" s="16" t="str">
        <x:v>​7663742403920022802</x:v>
      </x:c>
      <x:c r="C45" s="16" t="str">
        <x:v>@kamilla_ofc_</x:v>
      </x:c>
      <x:c r="D45" s="16" t="str">
        <x:v>Cinta modeladora</x:v>
      </x:c>
      <x:c r="E45" s="16" t="str">
        <x:v>13,07 s</x:v>
      </x:c>
      <x:c r="F45" s="16" t="str">
        <x:v>Sem copy falada; texto visual estruturado</x:v>
      </x:c>
      <x:c r="G45" s="16" t="str">
        <x:v>Estrutural</x:v>
      </x:c>
      <x:c r="H45" s="16" t="str">
        <x:v>Demonstração silenciosa/texto visual</x:v>
      </x:c>
      <x:c r="I45" s="16" t="str">
        <x:v>Preço/choque</x:v>
      </x:c>
      <x:c r="J45" s="16" t="str">
        <x:v>A cinta de menos de R$20 que deixou minha cintura assim.</x:v>
      </x:c>
      <x:c r="K45" s="16" t="str">
        <x:v>Demonstração silenciosa com transição para a cinta posicionada e exibição do fechamento frontal.</x:v>
      </x:c>
      <x:c r="L45" s="16" t="str">
        <x:v>Antes, uso da cinta e retirada ao final.</x:v>
      </x:c>
      <x:c r="M45" s="16" t="str">
        <x:v>Busca por mudança visual da cintura.</x:v>
      </x:c>
      <x:c r="N45" s="16" t="str">
        <x:v>Preço inferior a R$20 no texto visual.</x:v>
      </x:c>
      <x:c r="O45" s="16" t="str">
        <x:v>Sem CTA explícito</x:v>
      </x:c>
      <x:c r="P45" s="16" t="str">
        <x:v>Sem CTA falado.</x:v>
      </x:c>
      <x:c r="Q45" s="16" t="str">
        <x:v>Post composto apenas por hashtags.</x:v>
      </x:c>
      <x:c r="R45" s="16" t="str">
        <x:v>#tiktokshop #fy #satisfyingvideo</x:v>
      </x:c>
      <x:c r="S45" s="16" t="str">
        <x:v>[QUANTIDADE/PRODUTO] por [PREÇO]? Eu achei que era pegadinha. Mostre [DETALHE 1], [DETALHE 2] e [PROVA VISUAL].</x:v>
      </x:c>
      <x:c r="T45" s="16" t="str">
        <x:v>Alto</x:v>
      </x:c>
      <x:c r="U45" s="16" t="str">
        <x:v>Não há copy falada confiável; usar somente como referência visual/textual.</x:v>
      </x:c>
      <x:c r="V45" s="16" t="str">
        <x:v>https://www.tiktok.com/@kamilla_ofc_/video/7663742403920022802</x:v>
      </x:c>
      <x:c r="W45" s="16" t="str">
        <x:v>D:\Projetos\TiktokShop\Transcricoes TikTok 2026-08-11\00_analise_consolidada.md</x:v>
      </x:c>
    </x:row>
    <x:row r="46">
      <x:c r="A46" s="16" t="n">
        <x:v>45</x:v>
      </x:c>
      <x:c r="B46" s="16" t="str">
        <x:v>​7666099558031609095</x:v>
      </x:c>
      <x:c r="C46" s="16" t="str">
        <x:v>@dicasjessicaimprota</x:v>
      </x:c>
      <x:c r="D46" s="16" t="str">
        <x:v>Cinta modeladora</x:v>
      </x:c>
      <x:c r="E46" s="16" t="str">
        <x:v>66,78 s</x:v>
      </x:c>
      <x:c r="F46" s="16" t="str">
        <x:v>Resumo estruturado; copy literal indisponível</x:v>
      </x:c>
      <x:c r="G46" s="16" t="str">
        <x:v>Estrutural</x:v>
      </x:c>
      <x:c r="H46" s="16" t="str">
        <x:v>Teste/demonstração</x:v>
      </x:c>
      <x:c r="I46" s="16" t="str">
        <x:v>Pergunta/dor</x:v>
      </x:c>
      <x:c r="J46" s="16" t="str">
        <x:v>Será que eu troquei de calça no vídeo?</x:v>
      </x:c>
      <x:c r="K46" s="16" t="str">
        <x:v>Responde à acusação, repete roupa e produto, veste a cinta sem cortes e explica o posicionamento e o fechamento.</x:v>
      </x:c>
      <x:c r="L46" s="16" t="str">
        <x:v>Demonstração contínua, sem cortes, da colocação da cinta.</x:v>
      </x:c>
      <x:c r="M46" s="16" t="str">
        <x:v>Suspeita de troca de roupa ou manipulação do resultado.</x:v>
      </x:c>
      <x:c r="N46" s="16" t="str">
        <x:v>Valor promocional mencionado sem preço no relatório.</x:v>
      </x:c>
      <x:c r="O46" s="16" t="str">
        <x:v>Carrinho</x:v>
      </x:c>
      <x:c r="P46" s="16" t="str">
        <x:v>Direciona ao carrinho.</x:v>
      </x:c>
      <x:c r="Q46" s="16" t="str">
        <x:v>Resposta a uma usuária, com demonstração contínua da colocação da cinta para que o público acompanhe sem cortes.</x:v>
      </x:c>
      <x:c r="R46" s="16" t="str">
        <x:v>#cintamodeladora #cinta #dicasfemininas #compreinotiktokshop #oferta</x:v>
      </x:c>
      <x:c r="S46" s="16" t="str">
        <x:v>Você também sofre com [DOR]? Olha o que eu encontrei. Mostre [DETALHE 1], [DETALHE 2] e [PROVA VISUAL]. Feche com um convite neutro para conferir o produto.</x:v>
      </x:c>
      <x:c r="T46" s="16" t="str">
        <x:v>Baixo</x:v>
      </x:c>
      <x:c r="U46" s="16" t="str">
        <x:v>Estrutura derivada do relatório consolidado; não tratar como transcrição literal.</x:v>
      </x:c>
      <x:c r="V46" s="16" t="str">
        <x:v>https://www.tiktok.com/@dicasjessicaimprota/video/7666099558031609095</x:v>
      </x:c>
      <x:c r="W46" s="16" t="str">
        <x:v>D:\Projetos\TiktokShop\Transcricoes TikTok 2026-08-11\00_analise_consolidada.md</x:v>
      </x:c>
    </x:row>
    <x:row r="47">
      <x:c r="A47" s="16" t="n">
        <x:v>46</x:v>
      </x:c>
      <x:c r="B47" s="16" t="str">
        <x:v>​7666990429929278740</x:v>
      </x:c>
      <x:c r="C47" s="16" t="str">
        <x:v>@rafaduartezx</x:v>
      </x:c>
      <x:c r="D47" s="16" t="str">
        <x:v>Cinta modeladora</x:v>
      </x:c>
      <x:c r="E47" s="16" t="str">
        <x:v>11,90 s</x:v>
      </x:c>
      <x:c r="F47" s="16" t="str">
        <x:v>Resumo estruturado; copy literal indisponível</x:v>
      </x:c>
      <x:c r="G47" s="16" t="str">
        <x:v>Estrutural</x:v>
      </x:c>
      <x:c r="H47" s="16" t="str">
        <x:v>Transformação/antes e depois</x:v>
      </x:c>
      <x:c r="I47" s="16" t="str">
        <x:v>Depoimento/confissão</x:v>
      </x:c>
      <x:c r="J47" s="16" t="str">
        <x:v>Hoje eu sou assim, mas um dia eu estive assim.</x:v>
      </x:c>
      <x:c r="K47" s="16" t="str">
        <x:v>Contrasta a aparência atual com a anterior e relata dois meses de uso antes de mostrar o resultado.</x:v>
      </x:c>
      <x:c r="L47" s="16" t="str">
        <x:v>Montagem visual de antes e depois.</x:v>
      </x:c>
      <x:c r="M47" s="16" t="str">
        <x:v>Preço percebido como barreira.</x:v>
      </x:c>
      <x:c r="N47" s="16" t="str">
        <x:v>Preço inferior a dez reais declarado pela criadora.</x:v>
      </x:c>
      <x:c r="O47" s="16" t="str">
        <x:v>Recomendação/compra</x:v>
      </x:c>
      <x:c r="P47" s="16" t="str">
        <x:v>Recomenda a compra.</x:v>
      </x:c>
      <x:c r="Q47" s="16" t="str">
        <x:v>Relato promocional de resultado com cinta modeladora, associado a cintura mais marcada, aparência abdominal mais plana, conforto e sustentação cotidiana.</x:v>
      </x:c>
      <x:c r="R47" s="16" t="str">
        <x:v>#cintamodeladora #cinta #cintaredutora #cintapósParto #promotiktok</x:v>
      </x:c>
      <x:c r="S47" s="16" t="str">
        <x:v>Eu comprei [PRODUTO] sem esperar muito, mas [PROVA]. Mostre [DETALHE 1], [DETALHE 2] e [PROVA VISUAL]. Feche com um convite neutro para conferir o produto.</x:v>
      </x:c>
      <x:c r="T47" s="16" t="str">
        <x:v>Moderado</x:v>
      </x:c>
      <x:c r="U47" s="16" t="str">
        <x:v>Estrutura derivada do relatório consolidado; não tratar como transcrição literal.</x:v>
      </x:c>
      <x:c r="V47" s="16" t="str">
        <x:v>https://www.tiktok.com/@rafaduartezx/video/7666990429929278740</x:v>
      </x:c>
      <x:c r="W47" s="16" t="str">
        <x:v>D:\Projetos\TiktokShop\Transcricoes TikTok 2026-08-11\00_analise_consolidada.md</x:v>
      </x:c>
    </x:row>
    <x:row r="48">
      <x:c r="A48" s="16" t="n">
        <x:v>47</x:v>
      </x:c>
      <x:c r="B48" s="16" t="str">
        <x:v>​7667944020026346772</x:v>
      </x:c>
      <x:c r="C48" s="16" t="str">
        <x:v>@rafaduartezx</x:v>
      </x:c>
      <x:c r="D48" s="16" t="str">
        <x:v>Cinta modeladora</x:v>
      </x:c>
      <x:c r="E48" s="16" t="str">
        <x:v>13,65 s</x:v>
      </x:c>
      <x:c r="F48" s="16" t="str">
        <x:v>Resumo estruturado; copy literal indisponível</x:v>
      </x:c>
      <x:c r="G48" s="16" t="str">
        <x:v>Estrutural</x:v>
      </x:c>
      <x:c r="H48" s="16" t="str">
        <x:v>Transformação/antes e depois</x:v>
      </x:c>
      <x:c r="I48" s="16" t="str">
        <x:v>Declaração direta</x:v>
      </x:c>
      <x:c r="J48" s="16" t="str">
        <x:v>Encontrei um segredo para deixar a barriga mais plana.</x:v>
      </x:c>
      <x:c r="K48" s="16" t="str">
        <x:v>Compara imagens separadas por dez dias de uso.</x:v>
      </x:c>
      <x:c r="L48" s="16" t="str">
        <x:v>Montagem visual de antes e depois.</x:v>
      </x:c>
      <x:c r="M48" s="16" t="str">
        <x:v>Busca por uma cintura mais marcada.</x:v>
      </x:c>
      <x:c r="N48" s="16" t="str">
        <x:v>Preço de dez reais declarado pela criadora.</x:v>
      </x:c>
      <x:c r="O48" s="16" t="str">
        <x:v>Recomendação/compra</x:v>
      </x:c>
      <x:c r="P48" s="16" t="str">
        <x:v>Recomendação implícita pela surpresa com o preço.</x:v>
      </x:c>
      <x:c r="Q48" s="16" t="str">
        <x:v>Relato promocional de resultado com cinta modeladora, associado a cintura marcada, aparência abdominal mais plana, conforto e sustentação diária.</x:v>
      </x:c>
      <x:c r="R48" s="16" t="str">
        <x:v>#cintamodeladora #cinta #cintaredutora #cintapósParto #promotiktok</x:v>
      </x:c>
      <x:c r="S48" s="16" t="str">
        <x:v>[PRODUTO] entrega [RESULTADO OBSERVÁVEL] de um jeito simples. Mostre [DETALHE 1], [DETALHE 2] e [PROVA VISUAL]. Feche com um convite neutro para conferir o produto.</x:v>
      </x:c>
      <x:c r="T48" s="16" t="str">
        <x:v>Alto</x:v>
      </x:c>
      <x:c r="U48" s="16" t="str">
        <x:v>Estrutura derivada do relatório consolidado; não tratar como transcrição literal.</x:v>
      </x:c>
      <x:c r="V48" s="16" t="str">
        <x:v>https://www.tiktok.com/@rafaduartezx/video/7667944020026346772</x:v>
      </x:c>
      <x:c r="W48" s="16" t="str">
        <x:v>D:\Projetos\TiktokShop\Transcricoes TikTok 2026-08-11\00_analise_consolidada.md</x:v>
      </x:c>
    </x:row>
    <x:row r="49">
      <x:c r="A49" s="16" t="n">
        <x:v>48</x:v>
      </x:c>
      <x:c r="B49" s="16" t="str">
        <x:v>​7669558622136978696</x:v>
      </x:c>
      <x:c r="C49" s="16" t="str">
        <x:v>@diariodafazendeira2</x:v>
      </x:c>
      <x:c r="D49" s="16" t="str">
        <x:v>Conjunto feminino</x:v>
      </x:c>
      <x:c r="E49" s="16" t="str">
        <x:v>10 segundos</x:v>
      </x:c>
      <x:c r="F49" s="16" t="str">
        <x:v>Copy falada</x:v>
      </x:c>
      <x:c r="G49" s="16" t="str">
        <x:v>Alta</x:v>
      </x:c>
      <x:c r="H49" s="16" t="str">
        <x:v>Apresentação de benefícios</x:v>
      </x:c>
      <x:c r="I49" s="16" t="str">
        <x:v>Identidade/desejo</x:v>
      </x:c>
      <x:c r="J49" s="16" t="str">
        <x:v>Meninas, olhem esse conjunto da TikTok Shop. Veste super bem e é muito confortável.</x:v>
      </x:c>
      <x:c r="K49" s="16" t="str">
        <x:v>Estou usando o P, e o caimento ficou perfeito.</x:v>
      </x:c>
      <x:c r="L49" s="16" t="str"/>
      <x:c r="M49" s="16" t="str"/>
      <x:c r="N49" s="16" t="str"/>
      <x:c r="O49" s="16" t="str">
        <x:v>Carrinho</x:v>
      </x:c>
      <x:c r="P49" s="16" t="str">
        <x:v>Clica no carrinho, clica no carrinho e garante o seu.</x:v>
      </x:c>
      <x:c r="Q49" s="16" t="str">
        <x:v>Conjunto feminino #ModaFeminina #LookDoDia #AchadinhosTikTok #aerox #TikTokShopBrasil</x:v>
      </x:c>
      <x:c r="R49" s="16" t="str">
        <x:v>#ModaFeminina #LookDoDia #AchadinhosTikTok #aerox #TikTokShopBrasil</x:v>
      </x:c>
      <x:c r="S49" s="16" t="str">
        <x:v>Quem gosta de [DESEJO/ESTILO] vai amar [PRODUTO]. Apresente dois detalhes comprovados do produto. Feche com um convite neutro para conferir o produto.</x:v>
      </x:c>
      <x:c r="T49" s="16" t="str">
        <x:v>Baixo</x:v>
      </x:c>
      <x:c r="U49" s="16" t="str">
        <x:v>Transcrição utilizável como referência editorial; validar alegações comerciais antes de adaptar.</x:v>
      </x:c>
      <x:c r="V49" s="16" t="str">
        <x:v>https://www.tiktok.com/@diariodafazendeira2/video/7669558622136978696</x:v>
      </x:c>
      <x:c r="W49" s="16" t="str">
        <x:v>D:\Projetos\TiktokShop\Transcricao TikTok 2026-08-11 diariodafazendeira2 7669558622136978696\01_tiktok_7669558622136978696_transcricao.md</x:v>
      </x:c>
    </x:row>
    <x:row r="50">
      <x:c r="A50" s="16" t="n">
        <x:v>49</x:v>
      </x:c>
      <x:c r="B50" s="16" t="str">
        <x:v>​7651252361238695186</x:v>
      </x:c>
      <x:c r="C50" s="16" t="str">
        <x:v>@luanapriscila27</x:v>
      </x:c>
      <x:c r="D50" s="16" t="str">
        <x:v>Descascador de frutas e legumes</x:v>
      </x:c>
      <x:c r="E50" s="16" t="str">
        <x:v>00:20</x:v>
      </x:c>
      <x:c r="F50" s="16" t="str">
        <x:v>Copy falada</x:v>
      </x:c>
      <x:c r="G50" s="16" t="str">
        <x:v>Alta</x:v>
      </x:c>
      <x:c r="H50" s="16" t="str">
        <x:v>Dor &gt; solução</x:v>
      </x:c>
      <x:c r="I50" s="16" t="str">
        <x:v>Depoimento/confissão</x:v>
      </x:c>
      <x:c r="J50" s="16" t="str">
        <x:v>Desde que comprei, nao uso mais faca para descascar frutas e legumes.</x:v>
      </x:c>
      <x:c r="K50" s="16" t="str">
        <x:v>E diferente dos descascadores normais. Este tem um design unico no contorno da lamina. Descascar e muito facil. Descasca muito finamente e nao danifica frutas ou legumes. O cabo e confortavel e bonito. Hoje esta pela metade do preco.</x:v>
      </x:c>
      <x:c r="L50" s="16" t="str"/>
      <x:c r="M50" s="16" t="str"/>
      <x:c r="N50" s="16" t="str">
        <x:v>Hoje esta pela metade do preco. Os cem primeiros que comprarem recebem frete gratis.</x:v>
      </x:c>
      <x:c r="O50" s="16" t="str">
        <x:v>Recomendação/compra</x:v>
      </x:c>
      <x:c r="P50" s="16" t="str">
        <x:v>Os cem primeiros que comprarem recebem frete gratis.</x:v>
      </x:c>
      <x:c r="Q50" s="16" t="str"/>
      <x:c r="R50" s="16" t="str"/>
      <x:c r="S50" s="16" t="str">
        <x:v>Eu comprei [PRODUTO] sem esperar muito, mas [PROVA]. Apresente dois detalhes comprovados do produto. Feche com um convite neutro para conferir o produto.</x:v>
      </x:c>
      <x:c r="T50" s="16" t="str">
        <x:v>Baixo</x:v>
      </x:c>
      <x:c r="U50" s="16" t="str">
        <x:v>Transcrição utilizável como referência editorial; validar alegações comerciais antes de adaptar.</x:v>
      </x:c>
      <x:c r="V50" s="16" t="str">
        <x:v>https://www.tiktok.com/@luanapriscila27/video/7651252361238695186</x:v>
      </x:c>
      <x:c r="W50" s="16" t="str">
        <x:v>D:\Projetos\TiktokShop\Fatiador Legumes Kitop\tiktok_7651252361238695186_transcricao.md</x:v>
      </x:c>
    </x:row>
    <x:row r="51">
      <x:c r="A51" s="16" t="n">
        <x:v>50</x:v>
      </x:c>
      <x:c r="B51" s="16" t="str">
        <x:v>​7650992235663641874</x:v>
      </x:c>
      <x:c r="C51" s="16" t="str">
        <x:v>@promocaonaveia</x:v>
      </x:c>
      <x:c r="D51" s="16" t="str">
        <x:v>Fatiador/cortador de legumes</x:v>
      </x:c>
      <x:c r="E51" s="16" t="str">
        <x:v>00:10</x:v>
      </x:c>
      <x:c r="F51" s="16" t="str">
        <x:v>Sem copy falada</x:v>
      </x:c>
      <x:c r="G51" s="16" t="str">
        <x:v>N/A</x:v>
      </x:c>
      <x:c r="H51" s="16" t="str">
        <x:v>Demonstração silenciosa/texto visual</x:v>
      </x:c>
      <x:c r="I51" s="16" t="str">
        <x:v>Sem hook falado</x:v>
      </x:c>
      <x:c r="J51" s="16" t="str"/>
      <x:c r="K51" s="16" t="str"/>
      <x:c r="L51" s="16" t="str"/>
      <x:c r="M51" s="16" t="str"/>
      <x:c r="N51" s="16" t="str"/>
      <x:c r="O51" s="16" t="str">
        <x:v>Sem CTA explícito</x:v>
      </x:c>
      <x:c r="P51" s="16" t="str"/>
      <x:c r="Q51" s="16" t="str">
        <x:v>Clique no carrinho laranja para comprar também! #cortadordelegumes</x:v>
      </x:c>
      <x:c r="R51" s="16" t="str">
        <x:v>#cortadordelegumes</x:v>
      </x:c>
      <x:c r="S51" s="16" t="str">
        <x:v>[TEXTO VISUAL CURTO] Apresente dois detalhes comprovados do produto.</x:v>
      </x:c>
      <x:c r="T51" s="16" t="str">
        <x:v>Baixo</x:v>
      </x:c>
      <x:c r="U51" s="16" t="str">
        <x:v>Não há copy falada confiável; usar somente como referência visual/textual.</x:v>
      </x:c>
      <x:c r="V51" s="16" t="str">
        <x:v>https://www.tiktok.com/@promocaonaveia/video/7650992235663641874</x:v>
      </x:c>
      <x:c r="W51" s="16" t="str">
        <x:v>D:\Projetos\TiktokShop\Transcricoes TikTok 2026-07-07\tiktok_7650992235663641874_transcricao.md</x:v>
      </x:c>
    </x:row>
    <x:row r="52">
      <x:c r="A52" s="16" t="n">
        <x:v>51</x:v>
      </x:c>
      <x:c r="B52" s="16" t="str">
        <x:v>​7651690187260546324</x:v>
      </x:c>
      <x:c r="C52" s="16" t="str">
        <x:v>@cris.indiica</x:v>
      </x:c>
      <x:c r="D52" s="16" t="str">
        <x:v>Fatiador/cortador de legumes</x:v>
      </x:c>
      <x:c r="E52" s="16" t="str">
        <x:v>00:17</x:v>
      </x:c>
      <x:c r="F52" s="16" t="str">
        <x:v>Sem copy falada</x:v>
      </x:c>
      <x:c r="G52" s="16" t="str">
        <x:v>N/A</x:v>
      </x:c>
      <x:c r="H52" s="16" t="str">
        <x:v>Demonstração silenciosa/texto visual</x:v>
      </x:c>
      <x:c r="I52" s="16" t="str">
        <x:v>Sem hook falado</x:v>
      </x:c>
      <x:c r="J52" s="16" t="str"/>
      <x:c r="K52" s="16" t="str"/>
      <x:c r="L52" s="16" t="str"/>
      <x:c r="M52" s="16" t="str"/>
      <x:c r="N52" s="16" t="str"/>
      <x:c r="O52" s="16" t="str">
        <x:v>Sem CTA explícito</x:v>
      </x:c>
      <x:c r="P52" s="16" t="str"/>
      <x:c r="Q52" s="16" t="str">
        <x:v>Não acreditei quando vi, super rápido e prático 😱 #dicastiktokshop #cozinha #tiktokshop77</x:v>
      </x:c>
      <x:c r="R52" s="16" t="str">
        <x:v>#dicastiktokshop #cozinha #tiktokshop77</x:v>
      </x:c>
      <x:c r="S52" s="16" t="str">
        <x:v>[TEXTO VISUAL CURTO] Apresente dois detalhes comprovados do produto.</x:v>
      </x:c>
      <x:c r="T52" s="16" t="str">
        <x:v>Baixo</x:v>
      </x:c>
      <x:c r="U52" s="16" t="str">
        <x:v>Não há copy falada confiável; usar somente como referência visual/textual.</x:v>
      </x:c>
      <x:c r="V52" s="16" t="str">
        <x:v>https://www.tiktok.com/@cris.indiica/video/7651690187260546324</x:v>
      </x:c>
      <x:c r="W52" s="16" t="str">
        <x:v>D:\Projetos\TiktokShop\Transcricoes TikTok 2026-07-07\tiktok_7651690187260546324_transcricao.md</x:v>
      </x:c>
    </x:row>
    <x:row r="53">
      <x:c r="A53" s="16" t="n">
        <x:v>52</x:v>
      </x:c>
      <x:c r="B53" s="16" t="str">
        <x:v>​7652124032891981064</x:v>
      </x:c>
      <x:c r="C53" s="16" t="str">
        <x:v>@cris.indiica</x:v>
      </x:c>
      <x:c r="D53" s="16" t="str">
        <x:v>Fatiador/cortador de legumes</x:v>
      </x:c>
      <x:c r="E53" s="16" t="str">
        <x:v>00:08</x:v>
      </x:c>
      <x:c r="F53" s="16" t="str">
        <x:v>Sem copy falada</x:v>
      </x:c>
      <x:c r="G53" s="16" t="str">
        <x:v>N/A</x:v>
      </x:c>
      <x:c r="H53" s="16" t="str">
        <x:v>Demonstração silenciosa/texto visual</x:v>
      </x:c>
      <x:c r="I53" s="16" t="str">
        <x:v>Sem hook falado</x:v>
      </x:c>
      <x:c r="J53" s="16" t="str"/>
      <x:c r="K53" s="16" t="str"/>
      <x:c r="L53" s="16" t="str"/>
      <x:c r="M53" s="16" t="str"/>
      <x:c r="N53" s="16" t="str"/>
      <x:c r="O53" s="16" t="str">
        <x:v>Sem CTA explícito</x:v>
      </x:c>
      <x:c r="P53" s="16" t="str"/>
      <x:c r="Q53" s="16" t="str">
        <x:v>🥰🤌 #fatiador #cozinha #tiktokshop77</x:v>
      </x:c>
      <x:c r="R53" s="16" t="str">
        <x:v>#fatiador #cozinha #tiktokshop77</x:v>
      </x:c>
      <x:c r="S53" s="16" t="str">
        <x:v>[TEXTO VISUAL CURTO] Apresente dois detalhes comprovados do produto.</x:v>
      </x:c>
      <x:c r="T53" s="16" t="str">
        <x:v>Baixo</x:v>
      </x:c>
      <x:c r="U53" s="16" t="str">
        <x:v>Não há copy falada confiável; usar somente como referência visual/textual.</x:v>
      </x:c>
      <x:c r="V53" s="16" t="str">
        <x:v>https://www.tiktok.com/@cris.indiica/video/7652124032891981064</x:v>
      </x:c>
      <x:c r="W53" s="16" t="str">
        <x:v>D:\Projetos\TiktokShop\Transcricoes TikTok 2026-07-07\tiktok_7652124032891981064_transcricao.md</x:v>
      </x:c>
    </x:row>
    <x:row r="54">
      <x:c r="A54" s="16" t="n">
        <x:v>53</x:v>
      </x:c>
      <x:c r="B54" s="16" t="str">
        <x:v>​7654105916635221269</x:v>
      </x:c>
      <x:c r="C54" s="16" t="str">
        <x:v>@kelly.oliveiraa2</x:v>
      </x:c>
      <x:c r="D54" s="16" t="str">
        <x:v>Fatiador/cortador de legumes</x:v>
      </x:c>
      <x:c r="E54" s="16" t="str">
        <x:v>00:10</x:v>
      </x:c>
      <x:c r="F54" s="16" t="str">
        <x:v>Copy falada</x:v>
      </x:c>
      <x:c r="G54" s="16" t="str">
        <x:v>Alta</x:v>
      </x:c>
      <x:c r="H54" s="16" t="str">
        <x:v>Oferta direta ultracurta</x:v>
      </x:c>
      <x:c r="I54" s="16" t="str">
        <x:v>Preço/choque</x:v>
      </x:c>
      <x:c r="J54" s="16" t="str">
        <x:v>Serio, eu nao sei quem botou esse preco.</x:v>
      </x:c>
      <x:c r="K54" s="16" t="str">
        <x:v>Mas esta muito barato. Comprei sem pensar muito e quando chegou... Uau, juro, nao esperava que fosse tao bom. E daquelas coisas que voce diz: Ok, isso realmente vale muito a pena. Esta na promocao agora, mas acho que nao dura muito.</x:v>
      </x:c>
      <x:c r="L54" s="16" t="str">
        <x:v>Comprei sem pensar muito e quando chegou...</x:v>
      </x:c>
      <x:c r="M54" s="16" t="str">
        <x:v>Mas esta muito barato. Uau, juro, nao esperava que fosse tao bom.</x:v>
      </x:c>
      <x:c r="N54" s="16" t="str">
        <x:v>Serio, eu nao sei quem botou esse preco. Mas esta muito barato. Esta na promocao agora, mas acho que nao dura muito.</x:v>
      </x:c>
      <x:c r="O54" s="16" t="str">
        <x:v>Carrinho</x:v>
      </x:c>
      <x:c r="P54" s="16" t="str">
        <x:v>Clica aqui no carrinho laranja.</x:v>
      </x:c>
      <x:c r="Q54" s="16" t="str">
        <x:v>#viraisdatorcida #fatiador #cozinha #cortador #descascador</x:v>
      </x:c>
      <x:c r="R54" s="16" t="str">
        <x:v>#viraisdatorcida #fatiador #cozinha #cortador #descascador</x:v>
      </x:c>
      <x:c r="S54" s="16" t="str">
        <x:v>[QUANTIDADE/PRODUTO] por [PREÇO]? Eu achei que era pegadinha. Mostre [DETALHE 1], [DETALHE 2] e [PROVA VISUAL]. Feche com um convite neutro para conferir o produto.</x:v>
      </x:c>
      <x:c r="T54" s="16" t="str">
        <x:v>Moderado</x:v>
      </x:c>
      <x:c r="U54" s="16" t="str">
        <x:v>Transcrição utilizável como referência editorial; validar alegações comerciais antes de adaptar.</x:v>
      </x:c>
      <x:c r="V54" s="16" t="str">
        <x:v>https://www.tiktok.com/@kelly.oliveiraa2/video/7654105916635221269</x:v>
      </x:c>
      <x:c r="W54" s="16" t="str">
        <x:v>D:\Projetos\TiktokShop\Transcricoes TikTok 2026-07-07\tiktok_7654105916635221269_transcricao.md</x:v>
      </x:c>
    </x:row>
    <x:row r="55">
      <x:c r="A55" s="16" t="n">
        <x:v>54</x:v>
      </x:c>
      <x:c r="B55" s="16" t="str">
        <x:v>​7654161058545913096</x:v>
      </x:c>
      <x:c r="C55" s="16" t="str">
        <x:v>@vj7vcf7</x:v>
      </x:c>
      <x:c r="D55" s="16" t="str">
        <x:v>Fatiador/cortador de legumes</x:v>
      </x:c>
      <x:c r="E55" s="16" t="str">
        <x:v>00:10</x:v>
      </x:c>
      <x:c r="F55" s="16" t="str">
        <x:v>Copy falada</x:v>
      </x:c>
      <x:c r="G55" s="16" t="str">
        <x:v>Alta</x:v>
      </x:c>
      <x:c r="H55" s="16" t="str">
        <x:v>Apresentação de benefícios</x:v>
      </x:c>
      <x:c r="I55" s="16" t="str">
        <x:v>Demonstração</x:v>
      </x:c>
      <x:c r="J55" s="16" t="str">
        <x:v>Olha so, o melhor fatiador de legumes do Brasil.</x:v>
      </x:c>
      <x:c r="K55" s="16" t="str">
        <x:v>Preco de ataque, qualidade premium.</x:v>
      </x:c>
      <x:c r="L55" s="16" t="str"/>
      <x:c r="M55" s="16" t="str"/>
      <x:c r="N55" s="16" t="str">
        <x:v>Preco de ataque, qualidade premium.</x:v>
      </x:c>
      <x:c r="O55" s="16" t="str">
        <x:v>Recomendação/compra</x:v>
      </x:c>
      <x:c r="P55" s="16" t="str">
        <x:v>Nao perca, garanta ja o seu.</x:v>
      </x:c>
      <x:c r="Q55" s="16" t="str">
        <x:v>#copadomundo #torcedor #selecaobrasileira #foryou #tiktokbrasileiro #brasil #copa #viral #explore #viralbrasil2026 #paravoce #TikTokShopBR66 #fyp</x:v>
      </x:c>
      <x:c r="R55" s="16" t="str">
        <x:v>#copadomundo #torcedor #selecaobrasileira #foryou #tiktokbrasileiro #brasil #copa #viral #explore #viralbrasil2026 #paravoce #TikTokShopBR66 #fyp</x:v>
      </x:c>
      <x:c r="S55" s="16" t="str">
        <x:v>Olha o que [PRODUTO] faz em [TEMPO/USO]. Apresente dois detalhes comprovados do produto. Feche com um convite neutro para conferir o produto.</x:v>
      </x:c>
      <x:c r="T55" s="16" t="str">
        <x:v>Baixo</x:v>
      </x:c>
      <x:c r="U55" s="16" t="str">
        <x:v>Transcrição utilizável como referência editorial; validar alegações comerciais antes de adaptar.</x:v>
      </x:c>
      <x:c r="V55" s="16" t="str">
        <x:v>https://www.tiktok.com/@vj7vcf7/video/7654161058545913096</x:v>
      </x:c>
      <x:c r="W55" s="16" t="str">
        <x:v>D:\Projetos\TiktokShop\Transcricoes TikTok 2026-07-07\tiktok_7654161058545913096_transcricao.md</x:v>
      </x:c>
    </x:row>
    <x:row r="56">
      <x:c r="A56" s="16" t="n">
        <x:v>55</x:v>
      </x:c>
      <x:c r="B56" s="16" t="str">
        <x:v>​7654230036014206229</x:v>
      </x:c>
      <x:c r="C56" s="16" t="str">
        <x:v>@kelly.oliveiraa2</x:v>
      </x:c>
      <x:c r="D56" s="16" t="str">
        <x:v>Fatiador/cortador de legumes</x:v>
      </x:c>
      <x:c r="E56" s="16" t="str">
        <x:v>00:10</x:v>
      </x:c>
      <x:c r="F56" s="16" t="str">
        <x:v>Copy falada</x:v>
      </x:c>
      <x:c r="G56" s="16" t="str">
        <x:v>Alta</x:v>
      </x:c>
      <x:c r="H56" s="16" t="str">
        <x:v>Oferta direta ultracurta</x:v>
      </x:c>
      <x:c r="I56" s="16" t="str">
        <x:v>Preço/choque</x:v>
      </x:c>
      <x:c r="J56" s="16" t="str">
        <x:v>Serio, nao sei quem botou esse preco.</x:v>
      </x:c>
      <x:c r="K56" s="16" t="str">
        <x:v>Mas esta muito barato. Comprei sem pensar muito e quando chegou... Uau, juro, nao esperava que fosse tao bom. Isso e daquelas coisas que voce diz: Ok, isso realmente vale muito a pena. Esta na promocao agora, mas acho que nao dura muito.</x:v>
      </x:c>
      <x:c r="L56" s="16" t="str">
        <x:v>Comprei sem pensar muito e quando chegou...</x:v>
      </x:c>
      <x:c r="M56" s="16" t="str">
        <x:v>Mas esta muito barato. Uau, juro, nao esperava que fosse tao bom.</x:v>
      </x:c>
      <x:c r="N56" s="16" t="str">
        <x:v>Serio, nao sei quem botou esse preco. Mas esta muito barato. Esta na promocao agora, mas acho que nao dura muito.</x:v>
      </x:c>
      <x:c r="O56" s="16" t="str">
        <x:v>Carrinho</x:v>
      </x:c>
      <x:c r="P56" s="16" t="str">
        <x:v>Clica aqui no carrinho laranja.</x:v>
      </x:c>
      <x:c r="Q56" s="16" t="str">
        <x:v>#viraisdatorcida #cortador #fatiador</x:v>
      </x:c>
      <x:c r="R56" s="16" t="str">
        <x:v>#viraisdatorcida #cortador #fatiador</x:v>
      </x:c>
      <x:c r="S56" s="16" t="str">
        <x:v>[QUANTIDADE/PRODUTO] por [PREÇO]? Eu achei que era pegadinha. Mostre [DETALHE 1], [DETALHE 2] e [PROVA VISUAL]. Feche com um convite neutro para conferir o produto.</x:v>
      </x:c>
      <x:c r="T56" s="16" t="str">
        <x:v>Moderado</x:v>
      </x:c>
      <x:c r="U56" s="16" t="str">
        <x:v>Transcrição utilizável como referência editorial; validar alegações comerciais antes de adaptar.</x:v>
      </x:c>
      <x:c r="V56" s="16" t="str">
        <x:v>https://www.tiktok.com/@kelly.oliveiraa2/video/7654230036014206229</x:v>
      </x:c>
      <x:c r="W56" s="16" t="str">
        <x:v>D:\Projetos\TiktokShop\Transcricoes TikTok 2026-07-07\tiktok_7654230036014206229_transcricao.md</x:v>
      </x:c>
    </x:row>
    <x:row r="57">
      <x:c r="A57" s="16" t="n">
        <x:v>56</x:v>
      </x:c>
      <x:c r="B57" s="16" t="str">
        <x:v>​7655920266190703892</x:v>
      </x:c>
      <x:c r="C57" s="16" t="str">
        <x:v>@glaucia.martins50</x:v>
      </x:c>
      <x:c r="D57" s="16" t="str">
        <x:v>Fatiador/cortador de legumes</x:v>
      </x:c>
      <x:c r="E57" s="16" t="str">
        <x:v>00:14</x:v>
      </x:c>
      <x:c r="F57" s="16" t="str">
        <x:v>Sem copy falada</x:v>
      </x:c>
      <x:c r="G57" s="16" t="str">
        <x:v>N/A</x:v>
      </x:c>
      <x:c r="H57" s="16" t="str">
        <x:v>Demonstração silenciosa/texto visual</x:v>
      </x:c>
      <x:c r="I57" s="16" t="str">
        <x:v>Sem hook falado</x:v>
      </x:c>
      <x:c r="J57" s="16" t="str"/>
      <x:c r="K57" s="16" t="str"/>
      <x:c r="L57" s="16" t="str"/>
      <x:c r="M57" s="16" t="str"/>
      <x:c r="N57" s="16" t="str"/>
      <x:c r="O57" s="16" t="str">
        <x:v>Sem CTA explícito</x:v>
      </x:c>
      <x:c r="P57" s="16" t="str"/>
      <x:c r="Q57" s="16" t="str">
        <x:v>Eu,meu fatiador e microfone..rsrs. @DISTRIBUIDORA KITOP #77 #tiktokshopbr77 #fly #fyppppppppppppppppppppppp</x:v>
      </x:c>
      <x:c r="R57" s="16" t="str">
        <x:v>#77 #tiktokshopbr77 #fly #fyppppppppppppppppppppppp</x:v>
      </x:c>
      <x:c r="S57" s="16" t="str">
        <x:v>[TEXTO VISUAL CURTO] Apresente dois detalhes comprovados do produto.</x:v>
      </x:c>
      <x:c r="T57" s="16" t="str">
        <x:v>Baixo</x:v>
      </x:c>
      <x:c r="U57" s="16" t="str">
        <x:v>Não há copy falada confiável; usar somente como referência visual/textual.</x:v>
      </x:c>
      <x:c r="V57" s="16" t="str">
        <x:v>https://www.tiktok.com/@glaucia.martins50/video/7655920266190703892</x:v>
      </x:c>
      <x:c r="W57" s="16" t="str">
        <x:v>D:\Projetos\TiktokShop\Transcricoes TikTok 2026-07-07\tiktok_7655920266190703892_transcricao.md</x:v>
      </x:c>
    </x:row>
    <x:row r="58">
      <x:c r="A58" s="16" t="n">
        <x:v>57</x:v>
      </x:c>
      <x:c r="B58" s="16" t="str">
        <x:v>​7656130920914734344</x:v>
      </x:c>
      <x:c r="C58" s="16" t="str">
        <x:v>@garimposdanimoser</x:v>
      </x:c>
      <x:c r="D58" s="16" t="str">
        <x:v>Fatiador/cortador de legumes</x:v>
      </x:c>
      <x:c r="E58" s="16" t="str">
        <x:v>01:13</x:v>
      </x:c>
      <x:c r="F58" s="16" t="str">
        <x:v>Copy falada</x:v>
      </x:c>
      <x:c r="G58" s="16" t="str">
        <x:v>Alta</x:v>
      </x:c>
      <x:c r="H58" s="16" t="str">
        <x:v>Teste/demonstração</x:v>
      </x:c>
      <x:c r="I58" s="16" t="str">
        <x:v>Pergunta/dor</x:v>
      </x:c>
      <x:c r="J58" s="16" t="str">
        <x:v>Parece inofensivo, mas e o terror da mulherada, ta? Pelo menos pra mim, gente, sinceramente.</x:v>
      </x:c>
      <x:c r="K58" s="16" t="str">
        <x:v>Se tem uma coisa que eu gosto de comer, mas odeio fazer, e repolho, ta? Porque eu nunca consigo cortar ele nas medidas certas. Foi ai que esse queridinho vai entrar em acao agora. E a gente vai ver se realmente vai funcionar, porque eu to em duvida se isso aqui vai ficar bem uniforme. Ou se o corte e bom, ta? Entao, bora testar. Gente, olha aqui a quantidade, como ele saiu certinho. Vou pegar ate a parte maior, que eu acho que fiz errado antes. Porque dai eu consigo fazer um apoio aqui e fazer esse corte assim, o. E que eu to olhando aqui na camera, ne, gente? Eu nao to olhando o repolho, ta? Meu Deus, ate essas partes duras sairam tipo um filetinho, ta vendo? Pra fazer um refogado, uma sopa, ou ate comer cru. Gente, olha isso aqui. Olha aqui. Ta mega aprovado, muito barato, gente. Toda dona de casa deveria ter isso aqui. Ta mega aprovado.</x:v>
      </x:c>
      <x:c r="L58" s="16" t="str">
        <x:v>E a gente vai ver se realmente vai funcionar, porque eu to em duvida se isso aqui vai ficar bem uniforme. Ou se o corte e bom, ta? Entao, bora testar. Gente, olha aqui a quantidade, como ele saiu certinho. Vou pegar ate a parte maior, que eu acho que fiz errado antes.</x:v>
      </x:c>
      <x:c r="M58" s="16" t="str">
        <x:v>E a gente vai ver se realmente vai funcionar, porque eu to em duvida se isso aqui vai ficar bem uniforme. Ta mega aprovado, muito barato, gente. Toda dona de casa deveria ter isso aqui.</x:v>
      </x:c>
      <x:c r="N58" s="16" t="str">
        <x:v>Ta mega aprovado, muito barato, gente. Toda dona de casa deveria ter isso aqui.</x:v>
      </x:c>
      <x:c r="O58" s="16" t="str">
        <x:v>Carrinho</x:v>
      </x:c>
      <x:c r="P58" s="16" t="str">
        <x:v>Teste ao vivo, vou deixar o link no carrinho la, ne? Se voce quiser.</x:v>
      </x:c>
      <x:c r="Q58" s="16" t="str">
        <x:v>Cortador de repolho</x:v>
      </x:c>
      <x:c r="R58" s="16" t="str"/>
      <x:c r="S58" s="16" t="str">
        <x:v>Você também sofre com [DOR]? Olha o que eu encontrei. Mostre [DETALHE 1], [DETALHE 2] e [PROVA VISUAL]. Feche com um convite neutro para conferir o produto.</x:v>
      </x:c>
      <x:c r="T58" s="16" t="str">
        <x:v>Baixo</x:v>
      </x:c>
      <x:c r="U58" s="16" t="str">
        <x:v>Transcrição utilizável como referência editorial; validar alegações comerciais antes de adaptar.</x:v>
      </x:c>
      <x:c r="V58" s="16" t="str">
        <x:v>https://www.tiktok.com/@garimposdanimoser/video/7656130920914734344</x:v>
      </x:c>
      <x:c r="W58" s="16" t="str">
        <x:v>D:\Projetos\TiktokShop\Transcricoes TikTok 2026-07-07\tiktok_7656130920914734344_transcricao.md</x:v>
      </x:c>
    </x:row>
    <x:row r="59">
      <x:c r="A59" s="16" t="n">
        <x:v>58</x:v>
      </x:c>
      <x:c r="B59" s="16" t="str">
        <x:v>​7656442067308104980</x:v>
      </x:c>
      <x:c r="C59" s="16" t="str">
        <x:v>@cris.indiica</x:v>
      </x:c>
      <x:c r="D59" s="16" t="str">
        <x:v>Fatiador/cortador de legumes</x:v>
      </x:c>
      <x:c r="E59" s="16" t="str">
        <x:v>00:13</x:v>
      </x:c>
      <x:c r="F59" s="16" t="str">
        <x:v>Sem copy falada</x:v>
      </x:c>
      <x:c r="G59" s="16" t="str">
        <x:v>N/A</x:v>
      </x:c>
      <x:c r="H59" s="16" t="str">
        <x:v>Demonstração silenciosa/texto visual</x:v>
      </x:c>
      <x:c r="I59" s="16" t="str">
        <x:v>Sem hook falado</x:v>
      </x:c>
      <x:c r="J59" s="16" t="str"/>
      <x:c r="K59" s="16" t="str"/>
      <x:c r="L59" s="16" t="str"/>
      <x:c r="M59" s="16" t="str"/>
      <x:c r="N59" s="16" t="str"/>
      <x:c r="O59" s="16" t="str">
        <x:v>Sem CTA explícito</x:v>
      </x:c>
      <x:c r="P59" s="16" t="str"/>
      <x:c r="Q59" s="16" t="str">
        <x:v>#tiktokshopbr77 #foryou #cozinha</x:v>
      </x:c>
      <x:c r="R59" s="16" t="str">
        <x:v>#tiktokshopbr77 #foryou #cozinha</x:v>
      </x:c>
      <x:c r="S59" s="16" t="str">
        <x:v>[TEXTO VISUAL CURTO] Apresente dois detalhes comprovados do produto.</x:v>
      </x:c>
      <x:c r="T59" s="16" t="str">
        <x:v>Baixo</x:v>
      </x:c>
      <x:c r="U59" s="16" t="str">
        <x:v>Não há copy falada confiável; usar somente como referência visual/textual.</x:v>
      </x:c>
      <x:c r="V59" s="16" t="str">
        <x:v>https://www.tiktok.com/@cris.indiica/video/7656442067308104980</x:v>
      </x:c>
      <x:c r="W59" s="16" t="str">
        <x:v>D:\Projetos\TiktokShop\Transcricoes TikTok 2026-07-07\tiktok_7656442067308104980_transcricao.md</x:v>
      </x:c>
    </x:row>
    <x:row r="60">
      <x:c r="A60" s="16" t="n">
        <x:v>59</x:v>
      </x:c>
      <x:c r="B60" s="16" t="str">
        <x:v>​7657719918648986901</x:v>
      </x:c>
      <x:c r="C60" s="16" t="str">
        <x:v>@adayrecomenda</x:v>
      </x:c>
      <x:c r="D60" s="16" t="str">
        <x:v>Fatiador/cortador de legumes</x:v>
      </x:c>
      <x:c r="E60" s="16" t="str">
        <x:v>00:10</x:v>
      </x:c>
      <x:c r="F60" s="16" t="str">
        <x:v>Copy falada</x:v>
      </x:c>
      <x:c r="G60" s="16" t="str">
        <x:v>Alta</x:v>
      </x:c>
      <x:c r="H60" s="16" t="str">
        <x:v>Apresentação de benefícios</x:v>
      </x:c>
      <x:c r="I60" s="16" t="str">
        <x:v>Pergunta/dor</x:v>
      </x:c>
      <x:c r="J60" s="16" t="str">
        <x:v>Quer fatiar legumes assim?</x:v>
      </x:c>
      <x:c r="K60" s="16" t="str">
        <x:v>Conheca o fatiador Kitop. Olha so essa praticidade. Tiras fininhas em segundos. Perfeito pra sua couve.</x:v>
      </x:c>
      <x:c r="L60" s="16" t="str">
        <x:v>Olha so essa praticidade.</x:v>
      </x:c>
      <x:c r="M60" s="16" t="str"/>
      <x:c r="N60" s="16" t="str"/>
      <x:c r="O60" s="16" t="str">
        <x:v>Recomendação/compra</x:v>
      </x:c>
      <x:c r="P60" s="16" t="str">
        <x:v>Facil de usar e limpar. Garanta ja o seu.</x:v>
      </x:c>
      <x:c r="Q60" s="16" t="str">
        <x:v>#tiktokshopbr77 #achadinhos #receitas</x:v>
      </x:c>
      <x:c r="R60" s="16" t="str">
        <x:v>#tiktokshopbr77 #achadinhos #receitas</x:v>
      </x:c>
      <x:c r="S60" s="16" t="str">
        <x:v>Você também sofre com [DOR]? Olha o que eu encontrei. Mostre [DETALHE 1], [DETALHE 2] e [PROVA VISUAL]. Feche com um convite neutro para conferir o produto.</x:v>
      </x:c>
      <x:c r="T60" s="16" t="str">
        <x:v>Baixo</x:v>
      </x:c>
      <x:c r="U60" s="16" t="str">
        <x:v>Transcrição utilizável como referência editorial; validar alegações comerciais antes de adaptar.</x:v>
      </x:c>
      <x:c r="V60" s="16" t="str">
        <x:v>https://www.tiktok.com/@adayrecomenda/video/7657719918648986901</x:v>
      </x:c>
      <x:c r="W60" s="16" t="str">
        <x:v>D:\Projetos\TiktokShop\Transcricoes TikTok 2026-07-07\tiktok_7657719918648986901_transcricao.md</x:v>
      </x:c>
    </x:row>
    <x:row r="61">
      <x:c r="A61" s="16" t="n">
        <x:v>60</x:v>
      </x:c>
      <x:c r="B61" s="16" t="str">
        <x:v>​7642134681743379733</x:v>
      </x:c>
      <x:c r="C61" s="16" t="str">
        <x:v>@indicadaju</x:v>
      </x:c>
      <x:c r="D61" s="16" t="str">
        <x:v>Kit de body splashes masculinos</x:v>
      </x:c>
      <x:c r="E61" s="16" t="str">
        <x:v>8 segundos</x:v>
      </x:c>
      <x:c r="F61" s="16" t="str">
        <x:v>Copy falada</x:v>
      </x:c>
      <x:c r="G61" s="16" t="str">
        <x:v>Baixa</x:v>
      </x:c>
      <x:c r="H61" s="16" t="str">
        <x:v>Oferta direta ultracurta</x:v>
      </x:c>
      <x:c r="I61" s="16" t="str">
        <x:v>Preço/choque</x:v>
      </x:c>
      <x:c r="J61" s="16" t="str">
        <x:v>4 bores flash por menos de R$ 30 e na promoção menos de R$ 25.</x:v>
      </x:c>
      <x:c r="K61" s="16" t="str"/>
      <x:c r="L61" s="16" t="str"/>
      <x:c r="M61" s="16" t="str"/>
      <x:c r="N61" s="16" t="str">
        <x:v>4 bores flash por menos de R$ 30 e na promoção menos de R$ 25.</x:v>
      </x:c>
      <x:c r="O61" s="16" t="str">
        <x:v>Urgência condicional</x:v>
      </x:c>
      <x:c r="P61" s="16" t="str">
        <x:v>Aproveite agora e garanto seu antes que acabe.</x:v>
      </x:c>
      <x:c r="Q61" s="16" t="str">
        <x:v>#perfume #bodysplash</x:v>
      </x:c>
      <x:c r="R61" s="16" t="str">
        <x:v>#perfume #bodysplash</x:v>
      </x:c>
      <x:c r="S61" s="16" t="str">
        <x:v>[QUANTIDADE/PRODUTO] por [PREÇO]? Eu achei que era pegadinha. Apresente dois detalhes comprovados do produto. Feche com um convite neutro para conferir o produto.</x:v>
      </x:c>
      <x:c r="T61" s="16" t="str">
        <x:v>Moderado</x:v>
      </x:c>
      <x:c r="U61" s="16" t="str">
        <x:v>Transcrição automática com trechos possivelmente corrompidos; revisar o áudio antes de reutilizar literalmente.</x:v>
      </x:c>
      <x:c r="V61" s="16" t="str">
        <x:v>https://www.tiktok.com/@indicadaju/video/7642134681743379733</x:v>
      </x:c>
      <x:c r="W61" s="16" t="str">
        <x:v>D:\Projetos\TiktokShop\Transcricoes TikTok 2026-08-03\08_tiktok_7642134681743379733_transcricao.md</x:v>
      </x:c>
    </x:row>
    <x:row r="62">
      <x:c r="A62" s="16" t="n">
        <x:v>61</x:v>
      </x:c>
      <x:c r="B62" s="16" t="str">
        <x:v>​7643551744722521365</x:v>
      </x:c>
      <x:c r="C62" s="16" t="str">
        <x:v>@achadinhosshop3.0_</x:v>
      </x:c>
      <x:c r="D62" s="16" t="str">
        <x:v>Kit de body splashes masculinos</x:v>
      </x:c>
      <x:c r="E62" s="16" t="str">
        <x:v>10 segundos</x:v>
      </x:c>
      <x:c r="F62" s="16" t="str">
        <x:v>Copy falada</x:v>
      </x:c>
      <x:c r="G62" s="16" t="str">
        <x:v>Baixa</x:v>
      </x:c>
      <x:c r="H62" s="16" t="str">
        <x:v>Oferta direta ultracurta</x:v>
      </x:c>
      <x:c r="I62" s="16" t="str">
        <x:v>Preço/choque</x:v>
      </x:c>
      <x:c r="J62" s="16" t="str">
        <x:v>4 bores plaises masculinos por menos de 33 reais, eu achei que era pegadinho, cheiro</x:v>
      </x:c>
      <x:c r="K62" s="16" t="str">
        <x:v>fixa e lembra que eles importados.</x:v>
      </x:c>
      <x:c r="L62" s="16" t="str"/>
      <x:c r="M62" s="16" t="str">
        <x:v>4 bores plaises masculinos por menos de 33 reais, eu achei que era pegadinho, cheiro</x:v>
      </x:c>
      <x:c r="N62" s="16" t="str">
        <x:v>4 bores plaises masculinos por menos de 33 reais, eu achei que era pegadinho, cheiro</x:v>
      </x:c>
      <x:c r="O62" s="16" t="str">
        <x:v>Urgência condicional</x:v>
      </x:c>
      <x:c r="P62" s="16" t="str">
        <x:v>Se o carrinho ainda tiver aí, aproveita antes que acabe.</x:v>
      </x:c>
      <x:c r="Q62" s="16" t="str">
        <x:v>kit 4 Body splash masculinos #homemcheiroso #bodysplash</x:v>
      </x:c>
      <x:c r="R62" s="16" t="str">
        <x:v>#homemcheiroso #bodysplash</x:v>
      </x:c>
      <x:c r="S62" s="16" t="str">
        <x:v>[QUANTIDADE/PRODUTO] por [PREÇO]? Eu achei que era pegadinha. Apresente dois detalhes comprovados do produto. Feche com um convite neutro para conferir o produto.</x:v>
      </x:c>
      <x:c r="T62" s="16" t="str">
        <x:v>Moderado</x:v>
      </x:c>
      <x:c r="U62" s="16" t="str">
        <x:v>Transcrição automática com trechos possivelmente corrompidos; revisar o áudio antes de reutilizar literalmente.</x:v>
      </x:c>
      <x:c r="V62" s="16" t="str">
        <x:v>https://www.tiktok.com/@achadinhosshop3.0_/video/7643551744722521365</x:v>
      </x:c>
      <x:c r="W62" s="16" t="str">
        <x:v>D:\Projetos\TiktokShop\Transcricoes TikTok 2026-08-03\01_tiktok_7643551744722521365_transcricao.md</x:v>
      </x:c>
    </x:row>
    <x:row r="63">
      <x:c r="A63" s="16" t="n">
        <x:v>62</x:v>
      </x:c>
      <x:c r="B63" s="16" t="str">
        <x:v>​7645283708060175636</x:v>
      </x:c>
      <x:c r="C63" s="16" t="str">
        <x:v>@achadinhosshop3.0_</x:v>
      </x:c>
      <x:c r="D63" s="16" t="str">
        <x:v>Kit de body splashes masculinos</x:v>
      </x:c>
      <x:c r="E63" s="16" t="str">
        <x:v>20 segundos</x:v>
      </x:c>
      <x:c r="F63" s="16" t="str">
        <x:v>Copy falada</x:v>
      </x:c>
      <x:c r="G63" s="16" t="str">
        <x:v>Baixa</x:v>
      </x:c>
      <x:c r="H63" s="16" t="str">
        <x:v>Oferta direta ultracurta</x:v>
      </x:c>
      <x:c r="I63" s="16" t="str">
        <x:v>Preço/choque</x:v>
      </x:c>
      <x:c r="J63" s="16" t="str">
        <x:v>4 bóres plais de masculinos por menos de 40 reais e agora saindo por menos de 35.</x:v>
      </x:c>
      <x:c r="K63" s="16" t="str">
        <x:v>Cheiro de homem elegante, arrumado e marcante sem gastar muito. Kit combina fragrâncias modernas e intensas que deixam cheiro de homem bem cuidado de inteiro. Ótimo pra usar diariamente e receber elogios. As embalagens são lindas e o cheiro lembra os importados.</x:v>
      </x:c>
      <x:c r="L63" s="16" t="str"/>
      <x:c r="M63" s="16" t="str">
        <x:v>Cheiro de homem elegante, arrumado e marcante sem gastar muito.</x:v>
      </x:c>
      <x:c r="N63" s="16" t="str">
        <x:v>4 bóres plais de masculinos por menos de 40 reais e agora saindo por menos de 35. Aproveita enquanto ainda aparece a sua oferta.</x:v>
      </x:c>
      <x:c r="O63" s="16" t="str">
        <x:v>Urgência condicional</x:v>
      </x:c>
      <x:c r="P63" s="16" t="str">
        <x:v>Aproveita enquanto ainda aparece a sua oferta.</x:v>
      </x:c>
      <x:c r="Q63" s="16" t="str">
        <x:v>kit com 4 Body splashs masculinos pra qualquer ocasião🥰 #homemcheiroso #bodysplash</x:v>
      </x:c>
      <x:c r="R63" s="16" t="str">
        <x:v>#homemcheiroso #bodysplash</x:v>
      </x:c>
      <x:c r="S63" s="16" t="str">
        <x:v>[QUANTIDADE/PRODUTO] por [PREÇO]? Eu achei que era pegadinha. Apresente dois detalhes comprovados do produto. Feche com um convite neutro para conferir o produto.</x:v>
      </x:c>
      <x:c r="T63" s="16" t="str">
        <x:v>Moderado</x:v>
      </x:c>
      <x:c r="U63" s="16" t="str">
        <x:v>Transcrição automática com trechos possivelmente corrompidos; revisar o áudio antes de reutilizar literalmente.</x:v>
      </x:c>
      <x:c r="V63" s="16" t="str">
        <x:v>https://www.tiktok.com/@achadinhosshop3.0_/video/7645283708060175636</x:v>
      </x:c>
      <x:c r="W63" s="16" t="str">
        <x:v>D:\Projetos\TiktokShop\Transcricoes TikTok 2026-08-03\10_tiktok_7645283708060175636_transcricao.md</x:v>
      </x:c>
    </x:row>
    <x:row r="64">
      <x:c r="A64" s="16" t="n">
        <x:v>63</x:v>
      </x:c>
      <x:c r="B64" s="16" t="str">
        <x:v>​7647862663225085204</x:v>
      </x:c>
      <x:c r="C64" s="16" t="str">
        <x:v>@user4554507297834</x:v>
      </x:c>
      <x:c r="D64" s="16" t="str">
        <x:v>Kit de body splashes masculinos</x:v>
      </x:c>
      <x:c r="E64" s="16" t="str">
        <x:v>16 segundos</x:v>
      </x:c>
      <x:c r="F64" s="16" t="str">
        <x:v>Copy falada</x:v>
      </x:c>
      <x:c r="G64" s="16" t="str">
        <x:v>Baixa</x:v>
      </x:c>
      <x:c r="H64" s="16" t="str">
        <x:v>Oferta direta ultracurta</x:v>
      </x:c>
      <x:c r="I64" s="16" t="str">
        <x:v>Preço/choque</x:v>
      </x:c>
      <x:c r="J64" s="16" t="str">
        <x:v>Tá muito barato, são 69% de desconto e hoje pode ser o último dia.</x:v>
      </x:c>
      <x:c r="K64" s="16" t="str">
        <x:v>Olha esse kit. Olha esse kit masculino com quatro bóres pléxas inspirado em fragrance e agora. São quatro fragrâncias marcantes pra trabalho, encontro, rolê ou presente.</x:v>
      </x:c>
      <x:c r="L64" s="16" t="str">
        <x:v>Olha esse kit. Olha esse kit masculino com quatro bóres pléxas inspirado em fragrance e agora.</x:v>
      </x:c>
      <x:c r="M64" s="16" t="str">
        <x:v>Tá muito barato, são 69% de desconto e hoje pode ser o último dia. São quatro fragrâncias marcantes pra trabalho, encontro, rolê ou presente.</x:v>
      </x:c>
      <x:c r="N64" s="16" t="str">
        <x:v>Tá muito barato, são 69% de desconto e hoje pode ser o último dia. Clica agora, aproveito o desconto e...</x:v>
      </x:c>
      <x:c r="O64" s="16" t="str">
        <x:v>Urgência condicional</x:v>
      </x:c>
      <x:c r="P64" s="16" t="str">
        <x:v>Clica agora, aproveito o desconto e...</x:v>
      </x:c>
      <x:c r="Q64" s="16" t="str">
        <x:v>Homem Cheiroso! 😱 69% de Desconto nesse kit de 4 body splashes! 💼🔥 #perfumemasculino #bodysplash #promocao #tiktokshop #fyp</x:v>
      </x:c>
      <x:c r="R64" s="16" t="str">
        <x:v>#perfumemasculino #bodysplash #promocao #tiktokshop #fyp</x:v>
      </x:c>
      <x:c r="S64" s="16" t="str">
        <x:v>[QUANTIDADE/PRODUTO] por [PREÇO]? Eu achei que era pegadinha. Mostre [DETALHE 1], [DETALHE 2] e [PROVA VISUAL]. Feche com um convite neutro para conferir o produto.</x:v>
      </x:c>
      <x:c r="T64" s="16" t="str">
        <x:v>Moderado</x:v>
      </x:c>
      <x:c r="U64" s="16" t="str">
        <x:v>Transcrição automática com trechos possivelmente corrompidos; revisar o áudio antes de reutilizar literalmente.</x:v>
      </x:c>
      <x:c r="V64" s="16" t="str">
        <x:v>https://www.tiktok.com/@user4554507297834/video/7647862663225085204</x:v>
      </x:c>
      <x:c r="W64" s="16" t="str">
        <x:v>D:\Projetos\TiktokShop\Transcricoes TikTok 2026-08-03\02_tiktok_7647862663225085204_transcricao.md</x:v>
      </x:c>
    </x:row>
    <x:row r="65">
      <x:c r="A65" s="16" t="n">
        <x:v>64</x:v>
      </x:c>
      <x:c r="B65" s="16" t="str">
        <x:v>​7649047658216148231</x:v>
      </x:c>
      <x:c r="C65" s="16" t="str">
        <x:v>@thaisdossantos63</x:v>
      </x:c>
      <x:c r="D65" s="16" t="str">
        <x:v>Kit de body splashes masculinos</x:v>
      </x:c>
      <x:c r="E65" s="16" t="str">
        <x:v>11 segundos</x:v>
      </x:c>
      <x:c r="F65" s="16" t="str">
        <x:v>Copy falada</x:v>
      </x:c>
      <x:c r="G65" s="16" t="str">
        <x:v>Baixa</x:v>
      </x:c>
      <x:c r="H65" s="16" t="str">
        <x:v>Apresentação de benefícios</x:v>
      </x:c>
      <x:c r="I65" s="16" t="str">
        <x:v>Pergunta/dor</x:v>
      </x:c>
      <x:c r="J65" s="16" t="str">
        <x:v>E aí?</x:v>
      </x:c>
      <x:c r="K65" s="16" t="str"/>
      <x:c r="L65" s="16" t="str"/>
      <x:c r="M65" s="16" t="str"/>
      <x:c r="N65" s="16" t="str"/>
      <x:c r="O65" s="16" t="str">
        <x:v>Sem CTA explícito</x:v>
      </x:c>
      <x:c r="P65" s="16" t="str"/>
      <x:c r="Q65" s="16" t="str">
        <x:v>#fyp #foryou #borysplash #borysplashmasculino</x:v>
      </x:c>
      <x:c r="R65" s="16" t="str">
        <x:v>#fyp #foryou #borysplash #borysplashmasculino</x:v>
      </x:c>
      <x:c r="S65" s="16" t="str">
        <x:v>Você também sofre com [DOR]? Olha o que eu encontrei. Apresente dois detalhes comprovados do produto.</x:v>
      </x:c>
      <x:c r="T65" s="16" t="str">
        <x:v>Baixo</x:v>
      </x:c>
      <x:c r="U65" s="16" t="str">
        <x:v>Transcrição automática com trechos possivelmente corrompidos; revisar o áudio antes de reutilizar literalmente.</x:v>
      </x:c>
      <x:c r="V65" s="16" t="str">
        <x:v>https://www.tiktok.com/@thaisdossantos63/video/7649047658216148231</x:v>
      </x:c>
      <x:c r="W65" s="16" t="str">
        <x:v>D:\Projetos\TiktokShop\Transcricoes TikTok 2026-08-03\04_tiktok_7649047658216148231_transcricao.md</x:v>
      </x:c>
    </x:row>
    <x:row r="66">
      <x:c r="A66" s="16" t="n">
        <x:v>65</x:v>
      </x:c>
      <x:c r="B66" s="16" t="str">
        <x:v>​7655451196701953300</x:v>
      </x:c>
      <x:c r="C66" s="16" t="str">
        <x:v>@achadinhosshop3.0_</x:v>
      </x:c>
      <x:c r="D66" s="16" t="str">
        <x:v>Kit de body splashes masculinos</x:v>
      </x:c>
      <x:c r="E66" s="16" t="str">
        <x:v>10 segundos</x:v>
      </x:c>
      <x:c r="F66" s="16" t="str">
        <x:v>Copy falada</x:v>
      </x:c>
      <x:c r="G66" s="16" t="str">
        <x:v>Baixa</x:v>
      </x:c>
      <x:c r="H66" s="16" t="str">
        <x:v>Oferta direta ultracurta</x:v>
      </x:c>
      <x:c r="I66" s="16" t="str">
        <x:v>Preço/choque</x:v>
      </x:c>
      <x:c r="J66" s="16" t="str">
        <x:v>que te masculino com quatro bores plaises por um preço que eu jurava ser de um só.</x:v>
      </x:c>
      <x:c r="K66" s="16" t="str">
        <x:v>Homem cheiroso, chama atenção e agora você não precisa nem de 40 reais para levar 4 de uma vez.</x:v>
      </x:c>
      <x:c r="L66" s="16" t="str"/>
      <x:c r="M66" s="16" t="str"/>
      <x:c r="N66" s="16" t="str">
        <x:v>que te masculino com quatro bores plaises por um preço que eu jurava ser de um só. Homem cheiroso, chama atenção e agora você não precisa nem de 40 reais para levar 4 de uma vez.</x:v>
      </x:c>
      <x:c r="O66" s="16" t="str">
        <x:v>Link</x:v>
      </x:c>
      <x:c r="P66" s="16" t="str">
        <x:v>O link está aqui.</x:v>
      </x:c>
      <x:c r="Q66" s="16" t="str">
        <x:v>Kit pra os homens com 4 Body splashs🔥 #homemcheiroso #bodysplash</x:v>
      </x:c>
      <x:c r="R66" s="16" t="str">
        <x:v>#homemcheiroso #bodysplash</x:v>
      </x:c>
      <x:c r="S66" s="16" t="str">
        <x:v>[QUANTIDADE/PRODUTO] por [PREÇO]? Eu achei que era pegadinha. Apresente dois detalhes comprovados do produto. Feche com um convite neutro para conferir o produto.</x:v>
      </x:c>
      <x:c r="T66" s="16" t="str">
        <x:v>Moderado</x:v>
      </x:c>
      <x:c r="U66" s="16" t="str">
        <x:v>Transcrição automática com trechos possivelmente corrompidos; revisar o áudio antes de reutilizar literalmente.</x:v>
      </x:c>
      <x:c r="V66" s="16" t="str">
        <x:v>https://www.tiktok.com/@achadinhosshop3.0_/video/7655451196701953300</x:v>
      </x:c>
      <x:c r="W66" s="16" t="str">
        <x:v>D:\Projetos\TiktokShop\Transcricoes TikTok 2026-08-03\03_tiktok_7655451196701953300_transcricao.md</x:v>
      </x:c>
    </x:row>
    <x:row r="67">
      <x:c r="A67" s="16" t="n">
        <x:v>66</x:v>
      </x:c>
      <x:c r="B67" s="16" t="str">
        <x:v>​7655814557306326279</x:v>
      </x:c>
      <x:c r="C67" s="16" t="str">
        <x:v>@thaisdossantos63</x:v>
      </x:c>
      <x:c r="D67" s="16" t="str">
        <x:v>Kit de body splashes masculinos</x:v>
      </x:c>
      <x:c r="E67" s="16" t="str">
        <x:v>10 segundos</x:v>
      </x:c>
      <x:c r="F67" s="16" t="str">
        <x:v>Copy falada</x:v>
      </x:c>
      <x:c r="G67" s="16" t="str">
        <x:v>Baixa</x:v>
      </x:c>
      <x:c r="H67" s="16" t="str">
        <x:v>Depoimento pessoal</x:v>
      </x:c>
      <x:c r="I67" s="16" t="str">
        <x:v>Pergunta/dor</x:v>
      </x:c>
      <x:c r="J67" s="16" t="str">
        <x:v>O que está o seu cara?</x:v>
      </x:c>
      <x:c r="K67" s="16" t="str">
        <x:v>Deu seu prostituto? E claro que ela se amata O que passa que o nobalha? O meu fogo está o seu cara? Ai, cala o bã? Você está contra a inopo assim, má, bã?</x:v>
      </x:c>
      <x:c r="L67" s="16" t="str"/>
      <x:c r="M67" s="16" t="str"/>
      <x:c r="N67" s="16" t="str"/>
      <x:c r="O67" s="16" t="str">
        <x:v>Sem CTA explícito</x:v>
      </x:c>
      <x:c r="P67" s="16" t="str"/>
      <x:c r="Q67" s="16" t="str">
        <x:v>#fyp #foryou #perfumemasculino #perfume #</x:v>
      </x:c>
      <x:c r="R67" s="16" t="str">
        <x:v>#fyp #foryou #perfumemasculino #perfume</x:v>
      </x:c>
      <x:c r="S67" s="16" t="str">
        <x:v>Você também sofre com [DOR]? Olha o que eu encontrei. Apresente dois detalhes comprovados do produto.</x:v>
      </x:c>
      <x:c r="T67" s="16" t="str">
        <x:v>Baixo</x:v>
      </x:c>
      <x:c r="U67" s="16" t="str">
        <x:v>Transcrição automática com trechos possivelmente corrompidos; revisar o áudio antes de reutilizar literalmente.</x:v>
      </x:c>
      <x:c r="V67" s="16" t="str">
        <x:v>https://www.tiktok.com/@thaisdossantos63/video/7655814557306326279</x:v>
      </x:c>
      <x:c r="W67" s="16" t="str">
        <x:v>D:\Projetos\TiktokShop\Transcricoes TikTok 2026-08-03\05_tiktok_7655814557306326279_transcricao.md</x:v>
      </x:c>
    </x:row>
    <x:row r="68">
      <x:c r="A68" s="16" t="n">
        <x:v>67</x:v>
      </x:c>
      <x:c r="B68" s="16" t="str">
        <x:v>​7658746614630108436</x:v>
      </x:c>
      <x:c r="C68" s="16" t="str">
        <x:v>@achadinhosshop3.0_</x:v>
      </x:c>
      <x:c r="D68" s="16" t="str">
        <x:v>Kit de body splashes masculinos</x:v>
      </x:c>
      <x:c r="E68" s="16" t="str">
        <x:v>20 segundos</x:v>
      </x:c>
      <x:c r="F68" s="16" t="str">
        <x:v>Copy falada</x:v>
      </x:c>
      <x:c r="G68" s="16" t="str">
        <x:v>Alta</x:v>
      </x:c>
      <x:c r="H68" s="16" t="str">
        <x:v>Identidade/prova social</x:v>
      </x:c>
      <x:c r="I68" s="16" t="str">
        <x:v>Identidade/desejo</x:v>
      </x:c>
      <x:c r="J68" s="16" t="str">
        <x:v>Quem gosta de andar cheiroso vai amar esse kit.</x:v>
      </x:c>
      <x:c r="K68" s="16" t="str">
        <x:v>São quatro body splashes inspirados em fragrancias famosas que têm cheiro elegante, não parecem produto barato e a fixação na pele é muito boa. Um kit desse em loja física provavelmente sairia bem mais caro.</x:v>
      </x:c>
      <x:c r="L68" s="16" t="str"/>
      <x:c r="M68" s="16" t="str">
        <x:v>que têm cheiro elegante, não parecem produto barato Um kit desse em loja física provavelmente sairia bem mais caro.</x:v>
      </x:c>
      <x:c r="N68" s="16" t="str">
        <x:v>que têm cheiro elegante, não parecem produto barato E pelo valor que está hoje, vale muito a pena aproveitar.</x:v>
      </x:c>
      <x:c r="O68" s="16" t="str">
        <x:v>Urgência condicional</x:v>
      </x:c>
      <x:c r="P68" s="16" t="str">
        <x:v>E pelo valor que está hoje, vale muito a pena aproveitar. Se o carrinho ainda apareceu aí na tela, corre porque acaba rápido.</x:v>
      </x:c>
      <x:c r="Q68" s="16" t="str">
        <x:v>kit 4 Body splashs masculinos marcantes🔥 #homemcheiroso #bodysplash</x:v>
      </x:c>
      <x:c r="R68" s="16" t="str">
        <x:v>#homemcheiroso #bodysplash</x:v>
      </x:c>
      <x:c r="S68" s="16" t="str">
        <x:v>Quem gosta de [DESEJO/ESTILO] vai amar [PRODUTO]. Apresente dois detalhes comprovados do produto. Feche com um convite neutro para conferir o produto.</x:v>
      </x:c>
      <x:c r="T68" s="16" t="str">
        <x:v>Moderado</x:v>
      </x:c>
      <x:c r="U68" s="16" t="str">
        <x:v>Transcrição utilizável como referência editorial; validar alegações comerciais antes de adaptar.</x:v>
      </x:c>
      <x:c r="V68" s="16" t="str">
        <x:v>https://www.tiktok.com/@achadinhosshop3.0_/video/7658746614630108436</x:v>
      </x:c>
      <x:c r="W68" s="16" t="str">
        <x:v>D:\Projetos\TiktokShop\Transcricoes TikTok 2026-08-03\07_tiktok_7658746614630108436_transcricao.md</x:v>
      </x:c>
    </x:row>
    <x:row r="69">
      <x:c r="A69" s="16" t="n">
        <x:v>68</x:v>
      </x:c>
      <x:c r="B69" s="16" t="str">
        <x:v>​7660560041065368853</x:v>
      </x:c>
      <x:c r="C69" s="16" t="str">
        <x:v>@achadinhosshop3.0_</x:v>
      </x:c>
      <x:c r="D69" s="16" t="str">
        <x:v>Kit de body splashes masculinos</x:v>
      </x:c>
      <x:c r="E69" s="16" t="str">
        <x:v>20 segundos</x:v>
      </x:c>
      <x:c r="F69" s="16" t="str">
        <x:v>Copy falada</x:v>
      </x:c>
      <x:c r="G69" s="16" t="str">
        <x:v>Baixa</x:v>
      </x:c>
      <x:c r="H69" s="16" t="str">
        <x:v>Apresentação de benefícios</x:v>
      </x:c>
      <x:c r="I69" s="16" t="str">
        <x:v>Preço/choque</x:v>
      </x:c>
      <x:c r="J69" s="16" t="str">
        <x:v>Kit com quatro bora espleste masculinos inspirados em fragrances árabes famosas por menos de</x:v>
      </x:c>
      <x:c r="K69" s="16" t="str">
        <x:v>30 reais. O cheiro é marcante, fixa muito bem e passa impressão de perfum e caro. Esse Kit virou febre porque entrega qualidade por um preço absurdo de bom. E você paga muito menos do que em loja física.</x:v>
      </x:c>
      <x:c r="L69" s="16" t="str"/>
      <x:c r="M69" s="16" t="str">
        <x:v>O cheiro é marcante, fixa muito bem e passa impressão de perfum e caro.</x:v>
      </x:c>
      <x:c r="N69" s="16" t="str">
        <x:v>30 reais. Esse Kit virou febre porque entrega qualidade por um preço absurdo de bom. Se o carrinho ainda apareceu aí, corre antes da oferta acabar.</x:v>
      </x:c>
      <x:c r="O69" s="16" t="str">
        <x:v>Urgência condicional</x:v>
      </x:c>
      <x:c r="P69" s="16" t="str">
        <x:v>Se o carrinho ainda apareceu aí, corre antes da oferta acabar.</x:v>
      </x:c>
      <x:c r="Q69" s="16" t="str">
        <x:v>kit com 4 Body Splashs pra homens🔥 #homemcheiroso #perfumemasculino</x:v>
      </x:c>
      <x:c r="R69" s="16" t="str">
        <x:v>#homemcheiroso #perfumemasculino</x:v>
      </x:c>
      <x:c r="S69" s="16" t="str">
        <x:v>[QUANTIDADE/PRODUTO] por [PREÇO]? Eu achei que era pegadinha. Apresente dois detalhes comprovados do produto. Feche com um convite neutro para conferir o produto.</x:v>
      </x:c>
      <x:c r="T69" s="16" t="str">
        <x:v>Moderado</x:v>
      </x:c>
      <x:c r="U69" s="16" t="str">
        <x:v>Transcrição automática com trechos possivelmente corrompidos; revisar o áudio antes de reutilizar literalmente.</x:v>
      </x:c>
      <x:c r="V69" s="16" t="str">
        <x:v>https://www.tiktok.com/@achadinhosshop3.0_/video/7660560041065368853</x:v>
      </x:c>
      <x:c r="W69" s="16" t="str">
        <x:v>D:\Projetos\TiktokShop\Transcricoes TikTok 2026-08-03\09_tiktok_7660560041065368853_transcricao.md</x:v>
      </x:c>
    </x:row>
    <x:row r="70">
      <x:c r="A70" s="16" t="n">
        <x:v>69</x:v>
      </x:c>
      <x:c r="B70" s="16" t="str">
        <x:v>​7668325517308759316</x:v>
      </x:c>
      <x:c r="C70" s="16" t="str">
        <x:v>@achadinhosshop3.0_</x:v>
      </x:c>
      <x:c r="D70" s="16" t="str">
        <x:v>Kit de body splashes masculinos</x:v>
      </x:c>
      <x:c r="E70" s="16" t="str">
        <x:v>10 segundos</x:v>
      </x:c>
      <x:c r="F70" s="16" t="str">
        <x:v>Copy falada</x:v>
      </x:c>
      <x:c r="G70" s="16" t="str">
        <x:v>Baixa</x:v>
      </x:c>
      <x:c r="H70" s="16" t="str">
        <x:v>Oferta direta ultracurta</x:v>
      </x:c>
      <x:c r="I70" s="16" t="str">
        <x:v>Preço/choque</x:v>
      </x:c>
      <x:c r="J70" s="16" t="str">
        <x:v>Quatro bores plaises masculinos por menos de 30 reais na oferta relâmpago.</x:v>
      </x:c>
      <x:c r="K70" s="16" t="str">
        <x:v>Cheiro de homem elegante, marcante e bem cuidado sem gastar quase nada.</x:v>
      </x:c>
      <x:c r="L70" s="16" t="str"/>
      <x:c r="M70" s="16" t="str">
        <x:v>Cheiro de homem elegante, marcante e bem cuidado sem gastar quase nada.</x:v>
      </x:c>
      <x:c r="N70" s="16" t="str">
        <x:v>Quatro bores plaises masculinos por menos de 30 reais na oferta relâmpago. Aproveita enquanto esse preço ainda está aparecendo.</x:v>
      </x:c>
      <x:c r="O70" s="16" t="str">
        <x:v>Urgência condicional</x:v>
      </x:c>
      <x:c r="P70" s="16" t="str">
        <x:v>Aproveita enquanto esse preço ainda está aparecendo.</x:v>
      </x:c>
      <x:c r="Q70" s="16" t="str">
        <x:v>kit 4 Body Splashs masculinos pra qualquer ocasião😍 #homemcheiroso #perfumemasculino</x:v>
      </x:c>
      <x:c r="R70" s="16" t="str">
        <x:v>#homemcheiroso #perfumemasculino</x:v>
      </x:c>
      <x:c r="S70" s="16" t="str">
        <x:v>[QUANTIDADE/PRODUTO] por [PREÇO]? Eu achei que era pegadinha. Apresente dois detalhes comprovados do produto. Feche com um convite neutro para conferir o produto.</x:v>
      </x:c>
      <x:c r="T70" s="16" t="str">
        <x:v>Moderado</x:v>
      </x:c>
      <x:c r="U70" s="16" t="str">
        <x:v>Transcrição automática com trechos possivelmente corrompidos; revisar o áudio antes de reutilizar literalmente.</x:v>
      </x:c>
      <x:c r="V70" s="16" t="str">
        <x:v>https://www.tiktok.com/@achadinhosshop3.0_/video/7668325517308759316</x:v>
      </x:c>
      <x:c r="W70" s="16" t="str">
        <x:v>D:\Projetos\TiktokShop\Transcricoes TikTok 2026-08-03\06_tiktok_7668325517308759316_transcricao.md</x:v>
      </x:c>
    </x:row>
    <x:row r="71">
      <x:c r="A71" s="16" t="n">
        <x:v>70</x:v>
      </x:c>
      <x:c r="B71" s="16" t="str">
        <x:v>​7645995437526093077</x:v>
      </x:c>
      <x:c r="C71" s="16" t="str">
        <x:v>@wolfstoreoficial</x:v>
      </x:c>
      <x:c r="D71" s="16" t="str">
        <x:v>Kit de formas de silicone</x:v>
      </x:c>
      <x:c r="E71" s="16" t="str">
        <x:v>00:17</x:v>
      </x:c>
      <x:c r="F71" s="16" t="str">
        <x:v>Copy falada</x:v>
      </x:c>
      <x:c r="G71" s="16" t="str">
        <x:v>Alta</x:v>
      </x:c>
      <x:c r="H71" s="16" t="str">
        <x:v>Depoimento pessoal</x:v>
      </x:c>
      <x:c r="I71" s="16" t="str">
        <x:v>Depoimento/confissão</x:v>
      </x:c>
      <x:c r="J71" s="16" t="str">
        <x:v>Menina, eu to chocada com isso aqui.</x:v>
      </x:c>
      <x:c r="K71" s="16" t="str">
        <x:v>Depois que comecei a usar essas formas de silicone, eu nunca mais esfreguei minha air fryer. Fica tudo organizado, nao gruda e sem sujar a cesta. O kit com seis pecas esta por menos de 15 reais. Sao seis formas de silicone em tamanhos diferentes.</x:v>
      </x:c>
      <x:c r="L71" s="16" t="str"/>
      <x:c r="M71" s="16" t="str"/>
      <x:c r="N71" s="16" t="str">
        <x:v>O kit com seis pecas esta por menos de 15 reais. Clica no carrinho e aproveita, oferta boa acaba rapido.</x:v>
      </x:c>
      <x:c r="O71" s="16" t="str">
        <x:v>Urgência condicional</x:v>
      </x:c>
      <x:c r="P71" s="16" t="str">
        <x:v>Clica no carrinho e aproveita, oferta boa acaba rapido.</x:v>
      </x:c>
      <x:c r="Q71" s="16" t="str"/>
      <x:c r="R71" s="16" t="str"/>
      <x:c r="S71" s="16" t="str">
        <x:v>Eu comprei [PRODUTO] sem esperar muito, mas [PROVA]. Apresente dois detalhes comprovados do produto. Feche com um convite neutro para conferir o produto.</x:v>
      </x:c>
      <x:c r="T71" s="16" t="str">
        <x:v>Moderado</x:v>
      </x:c>
      <x:c r="U71" s="16" t="str">
        <x:v>Transcrição utilizável como referência editorial; validar alegações comerciais antes de adaptar.</x:v>
      </x:c>
      <x:c r="V71" s="16" t="str">
        <x:v>https://www.tiktok.com/@wolfstoreoficial/video/7645995437526093077</x:v>
      </x:c>
      <x:c r="W71" s="16" t="str">
        <x:v>D:\Projetos\TiktokShop\Kit 6 formas de silicone\tiktok_7645995437526093077_transcricao.md</x:v>
      </x:c>
    </x:row>
    <x:row r="72">
      <x:c r="A72" s="16" t="n">
        <x:v>71</x:v>
      </x:c>
      <x:c r="B72" s="16" t="str">
        <x:v>​7646067571699109141</x:v>
      </x:c>
      <x:c r="C72" s="16" t="str">
        <x:v>@louisa.0rtega</x:v>
      </x:c>
      <x:c r="D72" s="16" t="str">
        <x:v>Kit de formas de silicone</x:v>
      </x:c>
      <x:c r="E72" s="16" t="str">
        <x:v>00:39</x:v>
      </x:c>
      <x:c r="F72" s="16" t="str">
        <x:v>Copy falada</x:v>
      </x:c>
      <x:c r="G72" s="16" t="str">
        <x:v>Alta</x:v>
      </x:c>
      <x:c r="H72" s="16" t="str">
        <x:v>Depoimento pessoal</x:v>
      </x:c>
      <x:c r="I72" s="16" t="str">
        <x:v>Depoimento/confissão</x:v>
      </x:c>
      <x:c r="J72" s="16" t="str">
        <x:v>Gente, olha esse kit com seis formas de silicone pra air fryer que eu achei.</x:v>
      </x:c>
      <x:c r="K72" s="16" t="str">
        <x:v>Antiaderente e vem em varios tamanhos, sao de silicone flexivel, antiaderente, reutilizaveis e lavaveis. Vem seis tamanhos diferentes, serve pra air fryer, forno e micro-ondas. E o preco esta incrivel nessa oferta, kit completo com seis formas.</x:v>
      </x:c>
      <x:c r="L72" s="16" t="str"/>
      <x:c r="M72" s="16" t="str">
        <x:v>Gente, olha esse kit com seis formas de silicone pra air fryer que eu achei.</x:v>
      </x:c>
      <x:c r="N72" s="16" t="str">
        <x:v>E o preco esta incrivel nessa oferta, kit completo com seis formas.</x:v>
      </x:c>
      <x:c r="O72" s="16" t="str">
        <x:v>Urgência condicional</x:v>
      </x:c>
      <x:c r="P72" s="16" t="str">
        <x:v>Corre pro carrinho antes que acabe.</x:v>
      </x:c>
      <x:c r="Q72" s="16" t="str"/>
      <x:c r="R72" s="16" t="str"/>
      <x:c r="S72" s="16" t="str">
        <x:v>Eu comprei [PRODUTO] sem esperar muito, mas [PROVA]. Apresente dois detalhes comprovados do produto. Feche com um convite neutro para conferir o produto.</x:v>
      </x:c>
      <x:c r="T72" s="16" t="str">
        <x:v>Moderado</x:v>
      </x:c>
      <x:c r="U72" s="16" t="str">
        <x:v>Transcrição utilizável como referência editorial; validar alegações comerciais antes de adaptar.</x:v>
      </x:c>
      <x:c r="V72" s="16" t="str">
        <x:v>https://www.tiktok.com/@louisa.0rtega/video/7646067571699109141</x:v>
      </x:c>
      <x:c r="W72" s="16" t="str">
        <x:v>D:\Projetos\TiktokShop\Kit 6 formas de silicone\tiktok_7646067571699109141_transcricao.md</x:v>
      </x:c>
    </x:row>
    <x:row r="73">
      <x:c r="A73" s="16" t="n">
        <x:v>72</x:v>
      </x:c>
      <x:c r="B73" s="16" t="str">
        <x:v>​7659856458086911253</x:v>
      </x:c>
      <x:c r="C73" s="16" t="str">
        <x:v>@__dnani</x:v>
      </x:c>
      <x:c r="D73" s="16" t="str">
        <x:v>Kit de potes</x:v>
      </x:c>
      <x:c r="E73" s="16" t="str">
        <x:v>21 segundos</x:v>
      </x:c>
      <x:c r="F73" s="16" t="str">
        <x:v>Copy falada</x:v>
      </x:c>
      <x:c r="G73" s="16" t="str">
        <x:v>Alta</x:v>
      </x:c>
      <x:c r="H73" s="16" t="str">
        <x:v>Depoimento pessoal</x:v>
      </x:c>
      <x:c r="I73" s="16" t="str">
        <x:v>Preço/choque</x:v>
      </x:c>
      <x:c r="J73" s="16" t="str">
        <x:v>Bug do TikTok Shop: de R$ 79,90 por apenas R$ 39,90 no kit com 12 potes de 800 ml. Eu nao acreditei quando vi.</x:v>
      </x:c>
      <x:c r="K73" s="16" t="str">
        <x:v>Perfeito para marmitas, frutas, refeicoes e organizacao da geladeira sem bagunca e sem desperdicio.</x:v>
      </x:c>
      <x:c r="L73" s="16" t="str"/>
      <x:c r="M73" s="16" t="str"/>
      <x:c r="N73" s="16" t="str">
        <x:v>Bug do TikTok Shop: de R$ 79,90 por apenas R$ 39,90 no kit com 12 potes de 800 ml. Eu nao acreditei quando vi. Clica agora no carrinho laranja e garante o seu antes que o estoque acabe ou o preco suba.</x:v>
      </x:c>
      <x:c r="O73" s="16" t="str">
        <x:v>Urgência condicional</x:v>
      </x:c>
      <x:c r="P73" s="16" t="str">
        <x:v>Clica agora no carrinho laranja e garante o seu antes que o estoque acabe ou o preco suba.</x:v>
      </x:c>
      <x:c r="Q73" s="16" t="str">
        <x:v>#potes #cozinha #casa #tiktokshop #achadinhos</x:v>
      </x:c>
      <x:c r="R73" s="16" t="str">
        <x:v>#potes #cozinha #casa #tiktokshop #achadinhos</x:v>
      </x:c>
      <x:c r="S73" s="16" t="str">
        <x:v>[QUANTIDADE/PRODUTO] por [PREÇO]? Eu achei que era pegadinha. Apresente dois detalhes comprovados do produto. Feche com um convite neutro para conferir o produto.</x:v>
      </x:c>
      <x:c r="T73" s="16" t="str">
        <x:v>Moderado</x:v>
      </x:c>
      <x:c r="U73" s="16" t="str">
        <x:v>Transcrição utilizável como referência editorial; validar alegações comerciais antes de adaptar.</x:v>
      </x:c>
      <x:c r="V73" s="16" t="str">
        <x:v>https://www.tiktok.com/@__dnani/video/7659856458086911253</x:v>
      </x:c>
      <x:c r="W73" s="16" t="str">
        <x:v>D:\Projetos\TiktokShop\Transcricao TikTok 2026-08-03 __dnani 7659856458086911253\01_tiktok_7659856458086911253_transcricao.md</x:v>
      </x:c>
    </x:row>
    <x:row r="74">
      <x:c r="A74" s="16" t="n">
        <x:v>73</x:v>
      </x:c>
      <x:c r="B74" s="16" t="str">
        <x:v>​7630936938945596680</x:v>
      </x:c>
      <x:c r="C74" s="16" t="str">
        <x:v>@local</x:v>
      </x:c>
      <x:c r="D74" s="16" t="str">
        <x:v>Legging fitness</x:v>
      </x:c>
      <x:c r="E74" s="16" t="str">
        <x:v>00:43</x:v>
      </x:c>
      <x:c r="F74" s="16" t="str">
        <x:v>Copy falada</x:v>
      </x:c>
      <x:c r="G74" s="16" t="str">
        <x:v>Alta</x:v>
      </x:c>
      <x:c r="H74" s="16" t="str">
        <x:v>Apresentação de benefícios</x:v>
      </x:c>
      <x:c r="I74" s="16" t="str">
        <x:v>Declaração direta</x:v>
      </x:c>
      <x:c r="J74" s="16" t="str">
        <x:v>Essa aqui tem muita compressao e nao marca o tabaco.</x:v>
      </x:c>
      <x:c r="K74" s="16" t="str">
        <x:v>92% de poliamida e olha a grossura desse cos. Ela nao tem costura na frente e nem costura atras. Essa vai deixar voce com um popo GG gigante, viu, amigas? Essa calca veste muito bem. Essa compressao aqui vai comprimir a sua pochetezinha. Nao vai marcar o tabaco e nao fica transparente, ta, amigas? Qualidade sensacional. Ela e muito macia porque ela e uma poliamida de altissima qualidade. Gente, menos de R$90 as duas, ta? Ta valendo super a pena porque, na minha cidade, uma calca dessa qualidade eu nao pagaria menos de R$120.</x:v>
      </x:c>
      <x:c r="L74" s="16" t="str">
        <x:v>92% de poliamida e olha a grossura desse cos. Ela nao tem costura na frente e nem costura atras. Essa calca veste muito bem. Essa compressao aqui vai comprimir a sua pochetezinha. Nao vai marcar o tabaco e nao fica transparente, ta, amigas?</x:v>
      </x:c>
      <x:c r="M74" s="16" t="str">
        <x:v>Essa aqui tem muita compressao e nao marca o tabaco. Nao vai marcar o tabaco e nao fica transparente, ta, amigas?</x:v>
      </x:c>
      <x:c r="N74" s="16" t="str">
        <x:v>Gente, menos de R$90 as duas, ta? Ta valendo super a pena porque, na minha cidade, uma calca dessa qualidade eu nao pagaria menos de R$120. Amigas, ja corre e pega a sua aqui, ta? Porque por esse valor ta um achado.</x:v>
      </x:c>
      <x:c r="O74" s="16" t="str">
        <x:v>Urgência condicional</x:v>
      </x:c>
      <x:c r="P74" s="16" t="str">
        <x:v>E olha o tanto que ela fica linda, amigas. Eu comprei duas, a preta e a azul, nesse carrinho laranja. Amigas, ja corre e pega a sua aqui, ta? Porque por esse valor ta um achado.</x:v>
      </x:c>
      <x:c r="Q74" s="16" t="str"/>
      <x:c r="R74" s="16" t="str"/>
      <x:c r="S74" s="16" t="str">
        <x:v>[PRODUTO] entrega [RESULTADO OBSERVÁVEL] de um jeito simples. Mostre [DETALHE 1], [DETALHE 2] e [PROVA VISUAL]. Feche com um convite neutro para conferir o produto.</x:v>
      </x:c>
      <x:c r="T74" s="16" t="str">
        <x:v>Moderado</x:v>
      </x:c>
      <x:c r="U74" s="16" t="str">
        <x:v>Transcrição utilizável como referência editorial; validar alegações comerciais antes de adaptar.</x:v>
      </x:c>
      <x:c r="V74" s="16" t="str"/>
      <x:c r="W74" s="16" t="str">
        <x:v>D:\Projetos\TiktokShop\7630936938945596680_transcricao.md</x:v>
      </x:c>
    </x:row>
    <x:row r="75">
      <x:c r="A75" s="16" t="n">
        <x:v>74</x:v>
      </x:c>
      <x:c r="B75" s="16" t="str">
        <x:v>​7658416944932064532</x:v>
      </x:c>
      <x:c r="C75" s="16" t="str">
        <x:v>@claralimax21</x:v>
      </x:c>
      <x:c r="D75" s="16" t="str">
        <x:v>Máquina compacta de pão e bolo</x:v>
      </x:c>
      <x:c r="E75" s="16" t="str">
        <x:v>00:32</x:v>
      </x:c>
      <x:c r="F75" s="16" t="str">
        <x:v>Copy falada</x:v>
      </x:c>
      <x:c r="G75" s="16" t="str">
        <x:v>Alta</x:v>
      </x:c>
      <x:c r="H75" s="16" t="str">
        <x:v>Apresentação de benefícios</x:v>
      </x:c>
      <x:c r="I75" s="16" t="str">
        <x:v>Trend/prova social</x:v>
      </x:c>
      <x:c r="J75" s="16" t="str">
        <x:v>O TikTok não cansa de me fazer comprar.</x:v>
      </x:c>
      <x:c r="K75" s="16" t="str">
        <x:v>Mini assadeira de pão e bolo, esquenta mais rápido que forno e é mais econômica. A bandeja é antiaderente, sem necessidade de sujeira pra untar e é removível pra limpar fácil. Antes era 40 minutos no forno e hoje não leva nem 10 pra ficar pronto. Em outros sites ela custa uns 130 reais, mas aqui no TikTok ela entrou numa promoção exclusiva e tá saindo por só 58 reais. Mas não vacila que tá acabando rápido porque tem gente pegando até pra revender.</x:v>
      </x:c>
      <x:c r="L75" s="16" t="str"/>
      <x:c r="M75" s="16" t="str"/>
      <x:c r="N75" s="16" t="str">
        <x:v>Em outros sites ela custa uns 130 reais, mas aqui no TikTok ela entrou numa promoção exclusiva e tá saindo por só 58 reais.</x:v>
      </x:c>
      <x:c r="O75" s="16" t="str">
        <x:v>Carrinho</x:v>
      </x:c>
      <x:c r="P75" s="16" t="str">
        <x:v>Se o carrinho laranja tiver aparecendo pra você, aproveite e garanta a sua.</x:v>
      </x:c>
      <x:c r="Q75" s="16" t="str"/>
      <x:c r="R75" s="16" t="str"/>
      <x:c r="S75" s="16" t="str">
        <x:v>Todo mundo está usando [PRODUTO], e agora eu entendi por quê. Apresente dois detalhes comprovados do produto. Feche com um convite neutro para conferir o produto.</x:v>
      </x:c>
      <x:c r="T75" s="16" t="str">
        <x:v>Moderado</x:v>
      </x:c>
      <x:c r="U75" s="16" t="str">
        <x:v>Transcrição utilizável como referência editorial; validar alegações comerciais antes de adaptar.</x:v>
      </x:c>
      <x:c r="V75" s="16" t="str">
        <x:v>https://www.tiktok.com/@claralimax21/video/7658416944932064532</x:v>
      </x:c>
      <x:c r="W75" s="16" t="str">
        <x:v>D:\Projetos\TiktokShop\tiktok_7658416944932064532_transcricao.md</x:v>
      </x:c>
    </x:row>
    <x:row r="76">
      <x:c r="A76" s="16" t="n">
        <x:v>75</x:v>
      </x:c>
      <x:c r="B76" s="16" t="str">
        <x:v>​Vd0000001</x:v>
      </x:c>
      <x:c r="C76" s="16" t="str">
        <x:v>@local</x:v>
      </x:c>
      <x:c r="D76" s="16" t="str">
        <x:v>Perfume masculino inspirado</x:v>
      </x:c>
      <x:c r="E76" s="16" t="str">
        <x:v>01:24</x:v>
      </x:c>
      <x:c r="F76" s="16" t="str">
        <x:v>Copy falada</x:v>
      </x:c>
      <x:c r="G76" s="16" t="str">
        <x:v>Alta</x:v>
      </x:c>
      <x:c r="H76" s="16" t="str">
        <x:v>Diálogo encenado + prova social</x:v>
      </x:c>
      <x:c r="I76" s="16" t="str">
        <x:v>Pergunta/dor</x:v>
      </x:c>
      <x:c r="J76" s="16" t="str">
        <x:v>Nossa, passageira loira e a morena, hein? Vamos ver se elas vão prestar atenção no cheiro.</x:v>
      </x:c>
      <x:c r="K76" s="16" t="str">
        <x:v>Bom dia, meninas! Bom dia! Academia mesmo? Voce leva a gente ali na academia. Bora, bora sim. Nossa, que cheiro que e esse? O que? Voces nao gostaram, nao? Voce passou algum cheirinho aqui no carro? Nao, nao. Isso e meu perfume mesmo. Meu Deus! Mas perai, eu acho que eu conheco esse perfume. Eu conheco tambem. E o Sauvage da Dior. E, na verdade, nao e bem o Sauvage da Dior. E um perfume arabe que e inspirado no Sauvage da Dior. Voces conhecem esse aqui? Perai, nao. Mas ta muito parecido. E igual, olha. Nao, e se for arabe, arabe assim, tem a fixacao maravilhosa. Gostoso, ne? Demais. Muito parecido, gente. Eu posso espirrar aqui so pra ver? Nossa, olha esse jato. Voce viu? Mas isso aqui e cheiro de homem. Nossa, aquele homem. Aquele homem gostoso. Tesao. Mas isso aqui deve ser caro, ne? Nao. Porque e inspirado no Sauvage. E arabe? E. Sauvage da Dior custa mais de dois mil reais. Esse ai nao e nem vinte por cento do valor. Nao e nem dez por cento do valor. Como assim? Sim. Onde voce comprou esse aqui? No TikTok Shop. Voces conhecem o TikTok Shop? Conheco. Entao, pega o celular que eu vou mostrar pra voces.</x:v>
      </x:c>
      <x:c r="L76" s="16" t="str">
        <x:v>As passageiras identificam a semelhança olfativa, testam o borrifador e reagem ao cheiro e à fixação percebida.</x:v>
      </x:c>
      <x:c r="M76" s="16" t="str">
        <x:v>Suspeita de preço alto por lembrar uma fragrância conhecida.</x:v>
      </x:c>
      <x:c r="N76" s="16" t="str">
        <x:v>O motorista compara o preço com uma fragrância de referência e afirma que custa uma fração do valor.</x:v>
      </x:c>
      <x:c r="O76" s="16" t="str">
        <x:v>Carrinho</x:v>
      </x:c>
      <x:c r="P76" s="16" t="str">
        <x:v>Ah, peguei. Entao, ta vendo ai nesse carrinho laranja? To, to vendo. Entao, se voce quiser comprar nesse carrinho laranja ai, no valor promocional. Que isso? E so clicar aqui entao que ja compra? Sim. Gostoso o cheiro, ne? Olha o preco, que bom. Ja compra dois, ta? Porque eu quero dar um pro meu namorado tambem. Nossa, que bom que voces gostaram. Ah, obrigada pela dica. Muito bom.</x:v>
      </x:c>
      <x:c r="Q76" s="16" t="str"/>
      <x:c r="R76" s="16" t="str"/>
      <x:c r="S76" s="16" t="str">
        <x:v>Você também sofre com [DOR]? Olha o que eu encontrei. Mostre [DETALHE 1], [DETALHE 2] e [PROVA VISUAL]. Feche com um convite neutro para conferir o produto.</x:v>
      </x:c>
      <x:c r="T76" s="16" t="str">
        <x:v>Moderado</x:v>
      </x:c>
      <x:c r="U76" s="16" t="str">
        <x:v>Transcrição utilizável como referência editorial; validar alegações comerciais antes de adaptar.</x:v>
      </x:c>
      <x:c r="V76" s="16" t="str"/>
      <x:c r="W76" s="16" t="str">
        <x:v>D:\Projetos\TiktokShop\Vd0000001_transcricao_com_oradores.md</x:v>
      </x:c>
    </x:row>
  </x:sheetData>
  <x:conditionalFormatting sqref="T2:T76">
    <x:cfRule type="containsText" dxfId="0" priority="1" operator="containsText" text="Alto"/>
  </x:conditionalFormatting>
  <x:conditionalFormatting sqref="G2:G76">
    <x:cfRule type="containsText" dxfId="1" priority="2" operator="containsText" text="Baixa"/>
  </x:conditionalFormatting>
  <x:pageMargins left="0.7" right="0.7" top="0.75" bottom="0.75" header="0.3" footer="0.3"/>
  <x:tableParts count="1">
    <x:tablePart xmlns:r="http://schemas.openxmlformats.org/officeDocument/2006/relationships" r:id="Re910fd5ecdc540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48" hidden="0" customWidth="1"/>
    <x:col min="6" max="6" width="48" hidden="0" customWidth="1"/>
    <x:col min="7" max="7" width="20" hidden="0" customWidth="1"/>
    <x:col min="8" max="8" width="20" hidden="0" customWidth="1"/>
    <x:col min="9" max="9" width="20" hidden="0" customWidth="1"/>
  </x:cols>
  <x:sheetData>
    <x:row r="1">
      <x:c r="A1" s="13" t="str">
        <x:v>Nº</x:v>
      </x:c>
      <x:c r="B1" s="14" t="str">
        <x:v>ID</x:v>
      </x:c>
      <x:c r="C1" s="14" t="str">
        <x:v>Produto</x:v>
      </x:c>
      <x:c r="D1" s="14" t="str">
        <x:v>Tipo</x:v>
      </x:c>
      <x:c r="E1" s="14" t="str">
        <x:v>Hook observado</x:v>
      </x:c>
      <x:c r="F1" s="14" t="str">
        <x:v>Fórmula adaptável</x:v>
      </x:c>
      <x:c r="G1" s="14" t="str">
        <x:v>Mecanismo</x:v>
      </x:c>
      <x:c r="H1" s="14" t="str">
        <x:v>Confiança</x:v>
      </x:c>
      <x:c r="I1" s="15" t="str">
        <x:v>Risco</x:v>
      </x:c>
    </x:row>
    <x:row r="2">
      <x:c r="A2" s="16" t="n">
        <x:v>1</x:v>
      </x:c>
      <x:c r="B2" s="16" t="str">
        <x:v>​7671368504032906504</x:v>
      </x:c>
      <x:c r="C2" s="16" t="str">
        <x:v>Calça legging bailarina flare</x:v>
      </x:c>
      <x:c r="D2" s="16" t="str">
        <x:v>Depoimento/confissão</x:v>
      </x:c>
      <x:c r="E2" s="16" t="str">
        <x:v>Comprei essa calça bailarina no TikTok e tô muito feliz.</x:v>
      </x:c>
      <x:c r="F2" s="16" t="str">
        <x:v>Eu comprei [PRODUTO] sem esperar muito, mas [PROVA]. Mostre [DETALHE 1], [DETALHE 2] e [PROVA VISUAL]. Feche com um convite neutro para conferir o produto.</x:v>
      </x:c>
      <x:c r="G2" s="16" t="str">
        <x:v>Depoimento pessoal</x:v>
      </x:c>
      <x:c r="H2" s="16" t="str">
        <x:v>Alta</x:v>
      </x:c>
      <x:c r="I2" s="16" t="str">
        <x:v>Baixo</x:v>
      </x:c>
    </x:row>
    <x:row r="3">
      <x:c r="A3" s="16" t="n">
        <x:v>2</x:v>
      </x:c>
      <x:c r="B3" s="16" t="str">
        <x:v>​7595297903053212946</x:v>
      </x:c>
      <x:c r="C3" s="16" t="str">
        <x:v>Calça legging flare</x:v>
      </x:c>
      <x:c r="D3" s="16" t="str">
        <x:v>Sem hook falado</x:v>
      </x:c>
      <x:c r="E3" s="16" t="str"/>
      <x:c r="F3" s="16" t="str">
        <x:v>[TEXTO VISUAL CURTO] Apresente dois detalhes comprovados do produto.</x:v>
      </x:c>
      <x:c r="G3" s="16" t="str">
        <x:v>Demonstração silenciosa/texto visual</x:v>
      </x:c>
      <x:c r="H3" s="16" t="str">
        <x:v>N/A</x:v>
      </x:c>
      <x:c r="I3" s="16" t="str">
        <x:v>Baixo</x:v>
      </x:c>
    </x:row>
    <x:row r="4">
      <x:c r="A4" s="16" t="n">
        <x:v>3</x:v>
      </x:c>
      <x:c r="B4" s="16" t="str">
        <x:v>​7609015220085869831</x:v>
      </x:c>
      <x:c r="C4" s="16" t="str">
        <x:v>Calça legging flare</x:v>
      </x:c>
      <x:c r="D4" s="16" t="str">
        <x:v>Declaração direta</x:v>
      </x:c>
      <x:c r="E4" s="16" t="str">
        <x:v>Get high</x:v>
      </x:c>
      <x:c r="F4" s="16" t="str">
        <x:v>[PRODUTO] entrega [RESULTADO OBSERVÁVEL] de um jeito simples. Apresente dois detalhes comprovados do produto.</x:v>
      </x:c>
      <x:c r="G4" s="16" t="str">
        <x:v>Apresentação de benefícios</x:v>
      </x:c>
      <x:c r="H4" s="16" t="str">
        <x:v>Baixa</x:v>
      </x:c>
      <x:c r="I4" s="16" t="str">
        <x:v>Baixo</x:v>
      </x:c>
    </x:row>
    <x:row r="5">
      <x:c r="A5" s="16" t="n">
        <x:v>4</x:v>
      </x:c>
      <x:c r="B5" s="16" t="str">
        <x:v>​7614624337714236693</x:v>
      </x:c>
      <x:c r="C5" s="16" t="str">
        <x:v>Calça legging flare</x:v>
      </x:c>
      <x:c r="D5" s="16" t="str">
        <x:v>Depoimento/confissão</x:v>
      </x:c>
      <x:c r="E5" s="16" t="str">
        <x:v>Eu tive a mesma reação quando eu comprei essa calça, que perfeita.</x:v>
      </x:c>
      <x:c r="F5" s="16" t="str">
        <x:v>Eu comprei [PRODUTO] sem esperar muito, mas [PROVA]. Mostre [DETALHE 1], [DETALHE 2] e [PROVA VISUAL]. Feche com um convite neutro para conferir o produto.</x:v>
      </x:c>
      <x:c r="G5" s="16" t="str">
        <x:v>Depoimento pessoal</x:v>
      </x:c>
      <x:c r="H5" s="16" t="str">
        <x:v>Baixa</x:v>
      </x:c>
      <x:c r="I5" s="16" t="str">
        <x:v>Moderado</x:v>
      </x:c>
    </x:row>
    <x:row r="6">
      <x:c r="A6" s="16" t="n">
        <x:v>5</x:v>
      </x:c>
      <x:c r="B6" s="16" t="str">
        <x:v>​7619890258913627412</x:v>
      </x:c>
      <x:c r="C6" s="16" t="str">
        <x:v>Calça legging flare</x:v>
      </x:c>
      <x:c r="D6" s="16" t="str">
        <x:v>Pergunta/dor</x:v>
      </x:c>
      <x:c r="E6" s="16" t="str">
        <x:v>O gente pelo amor de Deus, uma flair, é uma flair, né?</x:v>
      </x:c>
      <x:c r="F6" s="16" t="str">
        <x:v>Você também sofre com [DOR]? Olha o que eu encontrei. Mostre [DETALHE 1], [DETALHE 2] e [PROVA VISUAL]. Feche com um convite neutro para conferir o produto.</x:v>
      </x:c>
      <x:c r="G6" s="16" t="str">
        <x:v>Apresentação de benefícios</x:v>
      </x:c>
      <x:c r="H6" s="16" t="str">
        <x:v>Baixa</x:v>
      </x:c>
      <x:c r="I6" s="16" t="str">
        <x:v>Moderado</x:v>
      </x:c>
    </x:row>
    <x:row r="7">
      <x:c r="A7" s="16" t="n">
        <x:v>6</x:v>
      </x:c>
      <x:c r="B7" s="16" t="str">
        <x:v>​7624126799483637000</x:v>
      </x:c>
      <x:c r="C7" s="16" t="str">
        <x:v>Calça legging flare</x:v>
      </x:c>
      <x:c r="D7" s="16" t="str">
        <x:v>Pergunta/dor</x:v>
      </x:c>
      <x:c r="E7" s="16" t="str">
        <x:v>Uma flair é uma flair, né gente? Olha que calça maravilhosa e ainda por dentro aqui ó, ela tem esse</x:v>
      </x:c>
      <x:c r="F7" s="16" t="str">
        <x:v>Você também sofre com [DOR]? Olha o que eu encontrei. Mostre [DETALHE 1], [DETALHE 2] e [PROVA VISUAL]. Feche com um convite neutro para conferir o produto.</x:v>
      </x:c>
      <x:c r="G7" s="16" t="str">
        <x:v>Apresentação de benefícios</x:v>
      </x:c>
      <x:c r="H7" s="16" t="str">
        <x:v>Baixa</x:v>
      </x:c>
      <x:c r="I7" s="16" t="str">
        <x:v>Baixo</x:v>
      </x:c>
    </x:row>
    <x:row r="8">
      <x:c r="A8" s="16" t="n">
        <x:v>7</x:v>
      </x:c>
      <x:c r="B8" s="16" t="str">
        <x:v>​7635842588691483912</x:v>
      </x:c>
      <x:c r="C8" s="16" t="str">
        <x:v>Calça legging flare</x:v>
      </x:c>
      <x:c r="D8" s="16" t="str">
        <x:v>Depoimento/confissão</x:v>
      </x:c>
      <x:c r="E8" s="16" t="str">
        <x:v>Agora eu entendi porque as grigas só usam calça a leg in flare, gente, olha como cada</x:v>
      </x:c>
      <x:c r="F8" s="16" t="str">
        <x:v>Eu comprei [PRODUTO] sem esperar muito, mas [PROVA]. Mostre [DETALHE 1], [DETALHE 2] e [PROVA VISUAL]. Feche com um convite neutro para conferir o produto.</x:v>
      </x:c>
      <x:c r="G8" s="16" t="str">
        <x:v>Depoimento pessoal</x:v>
      </x:c>
      <x:c r="H8" s="16" t="str">
        <x:v>Baixa</x:v>
      </x:c>
      <x:c r="I8" s="16" t="str">
        <x:v>Moderado</x:v>
      </x:c>
    </x:row>
    <x:row r="9">
      <x:c r="A9" s="16" t="n">
        <x:v>8</x:v>
      </x:c>
      <x:c r="B9" s="16" t="str">
        <x:v>​7636849394784013575</x:v>
      </x:c>
      <x:c r="C9" s="16" t="str">
        <x:v>Calça legging flare</x:v>
      </x:c>
      <x:c r="D9" s="16" t="str">
        <x:v>Preço/choque</x:v>
      </x:c>
      <x:c r="E9" s="16" t="str">
        <x:v>Quem conseguiu pegar essa calça por menos de 40 apila ficou no logo,</x:v>
      </x:c>
      <x:c r="F9" s="16" t="str">
        <x:v>[QUANTIDADE/PRODUTO] por [PREÇO]? Eu achei que era pegadinha. Mostre [DETALHE 1], [DETALHE 2] e [PROVA VISUAL]. Feche com um convite neutro para conferir o produto.</x:v>
      </x:c>
      <x:c r="G9" s="16" t="str">
        <x:v>Apresentação de benefícios</x:v>
      </x:c>
      <x:c r="H9" s="16" t="str">
        <x:v>Baixa</x:v>
      </x:c>
      <x:c r="I9" s="16" t="str">
        <x:v>Baixo</x:v>
      </x:c>
    </x:row>
    <x:row r="10">
      <x:c r="A10" s="16" t="n">
        <x:v>9</x:v>
      </x:c>
      <x:c r="B10" s="16" t="str">
        <x:v>​7638721302446083336</x:v>
      </x:c>
      <x:c r="C10" s="16" t="str">
        <x:v>Calça legging flare</x:v>
      </x:c>
      <x:c r="D10" s="16" t="str">
        <x:v>Preço/choque</x:v>
      </x:c>
      <x:c r="E10" s="16" t="str">
        <x:v>Quem conseguiu pegar essa calça por menos de 40 pilas ficou no lucro, porque olha o que ela faz com bumbum.</x:v>
      </x:c>
      <x:c r="F10" s="16" t="str">
        <x:v>[QUANTIDADE/PRODUTO] por [PREÇO]? Eu achei que era pegadinha. Mostre [DETALHE 1], [DETALHE 2] e [PROVA VISUAL]. Feche com um convite neutro para conferir o produto.</x:v>
      </x:c>
      <x:c r="G10" s="16" t="str">
        <x:v>Apresentação de benefícios</x:v>
      </x:c>
      <x:c r="H10" s="16" t="str">
        <x:v>Baixa</x:v>
      </x:c>
      <x:c r="I10" s="16" t="str">
        <x:v>Moderado</x:v>
      </x:c>
    </x:row>
    <x:row r="11">
      <x:c r="A11" s="16" t="n">
        <x:v>10</x:v>
      </x:c>
      <x:c r="B11" s="16" t="str">
        <x:v>​7639488015479377173</x:v>
      </x:c>
      <x:c r="C11" s="16" t="str">
        <x:v>Calça legging flare</x:v>
      </x:c>
      <x:c r="D11" s="16" t="str">
        <x:v>Preço/choque</x:v>
      </x:c>
      <x:c r="E11" s="16" t="str">
        <x:v>Uma Flair é uma Flair, ela é zero transparência, não divide essa região e ainda valoriza.</x:v>
      </x:c>
      <x:c r="F11" s="16" t="str">
        <x:v>[QUANTIDADE/PRODUTO] por [PREÇO]? Eu achei que era pegadinha. Mostre [DETALHE 1], [DETALHE 2] e [PROVA VISUAL]. Feche com um convite neutro para conferir o produto.</x:v>
      </x:c>
      <x:c r="G11" s="16" t="str">
        <x:v>Apresentação de benefícios</x:v>
      </x:c>
      <x:c r="H11" s="16" t="str">
        <x:v>Baixa</x:v>
      </x:c>
      <x:c r="I11" s="16" t="str">
        <x:v>Moderado</x:v>
      </x:c>
    </x:row>
    <x:row r="12">
      <x:c r="A12" s="16" t="n">
        <x:v>11</x:v>
      </x:c>
      <x:c r="B12" s="16" t="str">
        <x:v>​7639532780979801362</x:v>
      </x:c>
      <x:c r="C12" s="16" t="str">
        <x:v>Calça legging flare</x:v>
      </x:c>
      <x:c r="D12" s="16" t="str">
        <x:v>Preço/choque</x:v>
      </x:c>
      <x:c r="E12" s="16" t="str">
        <x:v>Eu tinha certeza que essa calça que ia subir o preço a qualquer momento.</x:v>
      </x:c>
      <x:c r="F12" s="16" t="str">
        <x:v>[QUANTIDADE/PRODUTO] por [PREÇO]? Eu achei que era pegadinha. Mostre [DETALHE 1], [DETALHE 2] e [PROVA VISUAL]. Feche com um convite neutro para conferir o produto.</x:v>
      </x:c>
      <x:c r="G12" s="16" t="str">
        <x:v>Depoimento pessoal</x:v>
      </x:c>
      <x:c r="H12" s="16" t="str">
        <x:v>Baixa</x:v>
      </x:c>
      <x:c r="I12" s="16" t="str">
        <x:v>Moderado</x:v>
      </x:c>
    </x:row>
    <x:row r="13">
      <x:c r="A13" s="16" t="n">
        <x:v>12</x:v>
      </x:c>
      <x:c r="B13" s="16" t="str">
        <x:v>​7646044465316187412</x:v>
      </x:c>
      <x:c r="C13" s="16" t="str">
        <x:v>Calça legging flare</x:v>
      </x:c>
      <x:c r="D13" s="16" t="str">
        <x:v>Trend/prova social</x:v>
      </x:c>
      <x:c r="E13" s="16" t="str">
        <x:v>Não é a novidade, por ninguém que os anos 2000 estão super de volta na boca do povo e todo mundo que aparece com as divas anos 2000</x:v>
      </x:c>
      <x:c r="F13" s="16" t="str">
        <x:v>Todo mundo está usando [PRODUTO], e agora eu entendi por quê. Mostre [DETALHE 1], [DETALHE 2] e [PROVA VISUAL]. Feche com um convite neutro para conferir o produto.</x:v>
      </x:c>
      <x:c r="G13" s="16" t="str">
        <x:v>Identidade/prova social</x:v>
      </x:c>
      <x:c r="H13" s="16" t="str">
        <x:v>Baixa</x:v>
      </x:c>
      <x:c r="I13" s="16" t="str">
        <x:v>Moderado</x:v>
      </x:c>
    </x:row>
    <x:row r="14">
      <x:c r="A14" s="16" t="n">
        <x:v>13</x:v>
      </x:c>
      <x:c r="B14" s="16" t="str">
        <x:v>​7654391575698607367</x:v>
      </x:c>
      <x:c r="C14" s="16" t="str">
        <x:v>Calça legging flare</x:v>
      </x:c>
      <x:c r="D14" s="16" t="str">
        <x:v>Declaração direta</x:v>
      </x:c>
      <x:c r="E14" s="16" t="str">
        <x:v>TISMO DE ALE</x:v>
      </x:c>
      <x:c r="F14" s="16" t="str">
        <x:v>[PRODUTO] entrega [RESULTADO OBSERVÁVEL] de um jeito simples. Apresente dois detalhes comprovados do produto.</x:v>
      </x:c>
      <x:c r="G14" s="16" t="str">
        <x:v>Apresentação de benefícios</x:v>
      </x:c>
      <x:c r="H14" s="16" t="str">
        <x:v>Baixa</x:v>
      </x:c>
      <x:c r="I14" s="16" t="str">
        <x:v>Baixo</x:v>
      </x:c>
    </x:row>
    <x:row r="15">
      <x:c r="A15" s="16" t="n">
        <x:v>14</x:v>
      </x:c>
      <x:c r="B15" s="16" t="str">
        <x:v>​7656974534389583124</x:v>
      </x:c>
      <x:c r="C15" s="16" t="str">
        <x:v>Calça legging flare</x:v>
      </x:c>
      <x:c r="D15" s="16" t="str">
        <x:v>Depoimento/confissão</x:v>
      </x:c>
      <x:c r="E15" s="16" t="str">
        <x:v>Eu estou completamente obcecada e ela modela de mais o corpo.</x:v>
      </x:c>
      <x:c r="F15" s="16" t="str">
        <x:v>Eu comprei [PRODUTO] sem esperar muito, mas [PROVA]. Apresente dois detalhes comprovados do produto. Feche com um convite neutro para conferir o produto.</x:v>
      </x:c>
      <x:c r="G15" s="16" t="str">
        <x:v>Depoimento pessoal</x:v>
      </x:c>
      <x:c r="H15" s="16" t="str">
        <x:v>Baixa</x:v>
      </x:c>
      <x:c r="I15" s="16" t="str">
        <x:v>Moderado</x:v>
      </x:c>
    </x:row>
    <x:row r="16">
      <x:c r="A16" s="16" t="n">
        <x:v>15</x:v>
      </x:c>
      <x:c r="B16" s="16" t="str">
        <x:v>​7659582874403753236</x:v>
      </x:c>
      <x:c r="C16" s="16" t="str">
        <x:v>Calça legging flare</x:v>
      </x:c>
      <x:c r="D16" s="16" t="str">
        <x:v>Preço/choque</x:v>
      </x:c>
      <x:c r="E16" s="16" t="str">
        <x:v>Eu não comprei o leguem porque é caro, a amiga compre essa aqui por menos de 40 reais</x:v>
      </x:c>
      <x:c r="F16" s="16" t="str">
        <x:v>[QUANTIDADE/PRODUTO] por [PREÇO]? Eu achei que era pegadinha. Mostre [DETALHE 1], [DETALHE 2] e [PROVA VISUAL].</x:v>
      </x:c>
      <x:c r="G16" s="16" t="str">
        <x:v>Depoimento pessoal</x:v>
      </x:c>
      <x:c r="H16" s="16" t="str">
        <x:v>Baixa</x:v>
      </x:c>
      <x:c r="I16" s="16" t="str">
        <x:v>Moderado</x:v>
      </x:c>
    </x:row>
    <x:row r="17">
      <x:c r="A17" s="16" t="n">
        <x:v>16</x:v>
      </x:c>
      <x:c r="B17" s="16" t="str">
        <x:v>​7668414579935808789</x:v>
      </x:c>
      <x:c r="C17" s="16" t="str">
        <x:v>Calça legging flare</x:v>
      </x:c>
      <x:c r="D17" s="16" t="str">
        <x:v>Identidade/desejo</x:v>
      </x:c>
      <x:c r="E17" s="16" t="str">
        <x:v>Aquelas calças da mamãe do pilates, que ela é coladinha e ela é flare embaixo... Pois é, amigas, eu me rendi, comprei uma e aí eu tive que pegar mais uma cor.</x:v>
      </x:c>
      <x:c r="F17" s="16" t="str">
        <x:v>Quem gosta de [DESEJO/ESTILO] vai amar [PRODUTO]. Mostre [DETALHE 1], [DETALHE 2] e [PROVA VISUAL]. Feche com um convite neutro para conferir o produto.</x:v>
      </x:c>
      <x:c r="G17" s="16" t="str">
        <x:v>Depoimento pessoal</x:v>
      </x:c>
      <x:c r="H17" s="16" t="str">
        <x:v>Alta</x:v>
      </x:c>
      <x:c r="I17" s="16" t="str">
        <x:v>Moderado</x:v>
      </x:c>
    </x:row>
    <x:row r="18">
      <x:c r="A18" s="16" t="n">
        <x:v>17</x:v>
      </x:c>
      <x:c r="B18" s="16" t="str">
        <x:v>​7672106803261525269</x:v>
      </x:c>
      <x:c r="C18" s="16" t="str">
        <x:v>Calça legging flare</x:v>
      </x:c>
      <x:c r="D18" s="16" t="str">
        <x:v>Trend/prova social</x:v>
      </x:c>
      <x:c r="E18" s="16" t="str">
        <x:v>Tem uma calça que voltou com tudo, todo mundo tá usando e eu amo demais, que é esse tipo de calça aqui.</x:v>
      </x:c>
      <x:c r="F18" s="16" t="str">
        <x:v>Todo mundo está usando [PRODUTO], e agora eu entendi por quê. Apresente dois detalhes comprovados do produto. Feche com um convite neutro para conferir o produto.</x:v>
      </x:c>
      <x:c r="G18" s="16" t="str">
        <x:v>Depoimento pessoal</x:v>
      </x:c>
      <x:c r="H18" s="16" t="str">
        <x:v>Alta</x:v>
      </x:c>
      <x:c r="I18" s="16" t="str">
        <x:v>Baixo</x:v>
      </x:c>
    </x:row>
    <x:row r="19">
      <x:c r="A19" s="16" t="n">
        <x:v>18</x:v>
      </x:c>
      <x:c r="B19" s="16" t="str">
        <x:v>​7627542684953038087</x:v>
      </x:c>
      <x:c r="C19" s="16" t="str">
        <x:v>Calça pantalona</x:v>
      </x:c>
      <x:c r="D19" s="16" t="str">
        <x:v>Pergunta/dor</x:v>
      </x:c>
      <x:c r="E19" s="16" t="str">
        <x:v>Comprei a calça mais ripada desse TikTok, gente. Isso mesmo, aquela calça da Cordinha, sabe?</x:v>
      </x:c>
      <x:c r="F19" s="16" t="str">
        <x:v>Você também sofre com [DOR]? Olha o que eu encontrei. Mostre [DETALHE 1], [DETALHE 2] e [PROVA VISUAL]. Feche com um convite neutro para conferir o produto.</x:v>
      </x:c>
      <x:c r="G19" s="16" t="str">
        <x:v>Depoimento pessoal</x:v>
      </x:c>
      <x:c r="H19" s="16" t="str">
        <x:v>Alta</x:v>
      </x:c>
      <x:c r="I19" s="16" t="str">
        <x:v>Baixo</x:v>
      </x:c>
    </x:row>
    <x:row r="20">
      <x:c r="A20" s="16" t="n">
        <x:v>19</x:v>
      </x:c>
      <x:c r="B20" s="16" t="str">
        <x:v>​7628985822221552916</x:v>
      </x:c>
      <x:c r="C20" s="16" t="str">
        <x:v>Calça pantalona</x:v>
      </x:c>
      <x:c r="D20" s="16" t="str">
        <x:v>Identidade/desejo</x:v>
      </x:c>
      <x:c r="E20" s="16" t="str">
        <x:v>Comprei essa calça aqui no TikTok. Eu abri ela, meninas. Eu estou simplesmente apaixonada.</x:v>
      </x:c>
      <x:c r="F20" s="16" t="str">
        <x:v>Quem gosta de [DESEJO/ESTILO] vai amar [PRODUTO]. Mostre [DETALHE 1], [DETALHE 2] e [PROVA VISUAL]. Feche com um convite neutro para conferir o produto.</x:v>
      </x:c>
      <x:c r="G20" s="16" t="str">
        <x:v>Depoimento pessoal</x:v>
      </x:c>
      <x:c r="H20" s="16" t="str">
        <x:v>Alta</x:v>
      </x:c>
      <x:c r="I20" s="16" t="str">
        <x:v>Baixo</x:v>
      </x:c>
    </x:row>
    <x:row r="21">
      <x:c r="A21" s="16" t="n">
        <x:v>20</x:v>
      </x:c>
      <x:c r="B21" s="16" t="str">
        <x:v>​7634731433747156232</x:v>
      </x:c>
      <x:c r="C21" s="16" t="str">
        <x:v>Calça pantalona</x:v>
      </x:c>
      <x:c r="D21" s="16" t="str">
        <x:v>Identidade/desejo</x:v>
      </x:c>
      <x:c r="E21" s="16" t="str">
        <x:v>Meninas, calça no tecido marrante, bem corpada, bolsinho nas laterais, cordão funcional na frente,</x:v>
      </x:c>
      <x:c r="F21" s="16" t="str">
        <x:v>Quem gosta de [DESEJO/ESTILO] vai amar [PRODUTO]. Apresente dois detalhes comprovados do produto. Feche com um convite neutro para conferir o produto.</x:v>
      </x:c>
      <x:c r="G21" s="16" t="str">
        <x:v>Apresentação de benefícios</x:v>
      </x:c>
      <x:c r="H21" s="16" t="str">
        <x:v>Alta</x:v>
      </x:c>
      <x:c r="I21" s="16" t="str">
        <x:v>Baixo</x:v>
      </x:c>
    </x:row>
    <x:row r="22">
      <x:c r="A22" s="16" t="n">
        <x:v>21</x:v>
      </x:c>
      <x:c r="B22" s="16" t="str">
        <x:v>​7645009188519054610</x:v>
      </x:c>
      <x:c r="C22" s="16" t="str">
        <x:v>Calça pantalona</x:v>
      </x:c>
      <x:c r="D22" s="16" t="str">
        <x:v>Depoimento/confissão</x:v>
      </x:c>
      <x:c r="E22" s="16" t="str">
        <x:v>O tanto que eu amei essa calça não tá escrita, ela é uma pantalona em tecido marran, gente,</x:v>
      </x:c>
      <x:c r="F22" s="16" t="str">
        <x:v>Eu comprei [PRODUTO] sem esperar muito, mas [PROVA]. Mostre [DETALHE 1], [DETALHE 2] e [PROVA VISUAL].</x:v>
      </x:c>
      <x:c r="G22" s="16" t="str">
        <x:v>Depoimento pessoal</x:v>
      </x:c>
      <x:c r="H22" s="16" t="str">
        <x:v>Alta</x:v>
      </x:c>
      <x:c r="I22" s="16" t="str">
        <x:v>Baixo</x:v>
      </x:c>
    </x:row>
    <x:row r="23">
      <x:c r="A23" s="16" t="n">
        <x:v>22</x:v>
      </x:c>
      <x:c r="B23" s="16" t="str">
        <x:v>​7652139665813687573</x:v>
      </x:c>
      <x:c r="C23" s="16" t="str">
        <x:v>Calça pantalona</x:v>
      </x:c>
      <x:c r="D23" s="16" t="str">
        <x:v>Declaração direta</x:v>
      </x:c>
      <x:c r="E23" s="16" t="str">
        <x:v>Essa aqui é na cor verde menta e confesso pra vocês que essa é a minha</x:v>
      </x:c>
      <x:c r="F23" s="16" t="str">
        <x:v>[PRODUTO] entrega [RESULTADO OBSERVÁVEL] de um jeito simples. Mostre [DETALHE 1], [DETALHE 2] e [PROVA VISUAL]. Feche com um convite neutro para conferir o produto.</x:v>
      </x:c>
      <x:c r="G23" s="16" t="str">
        <x:v>Apresentação de benefícios</x:v>
      </x:c>
      <x:c r="H23" s="16" t="str">
        <x:v>Alta</x:v>
      </x:c>
      <x:c r="I23" s="16" t="str">
        <x:v>Moderado</x:v>
      </x:c>
    </x:row>
    <x:row r="24">
      <x:c r="A24" s="16" t="n">
        <x:v>23</x:v>
      </x:c>
      <x:c r="B24" s="16" t="str">
        <x:v>​7657650510194871572</x:v>
      </x:c>
      <x:c r="C24" s="16" t="str">
        <x:v>Calça pantalona</x:v>
      </x:c>
      <x:c r="D24" s="16" t="str">
        <x:v>Depoimento/confissão</x:v>
      </x:c>
      <x:c r="E24" s="16" t="str">
        <x:v>Quando eu compro algumas calças de alfaiataria, alguns pontos pra mim são muito importantes.</x:v>
      </x:c>
      <x:c r="F24" s="16" t="str">
        <x:v>Eu comprei [PRODUTO] sem esperar muito, mas [PROVA]. Apresente dois detalhes comprovados do produto. Feche com um convite neutro para conferir o produto.</x:v>
      </x:c>
      <x:c r="G24" s="16" t="str">
        <x:v>Checklist técnico</x:v>
      </x:c>
      <x:c r="H24" s="16" t="str">
        <x:v>Alta</x:v>
      </x:c>
      <x:c r="I24" s="16" t="str">
        <x:v>Baixo</x:v>
      </x:c>
    </x:row>
    <x:row r="25">
      <x:c r="A25" s="16" t="n">
        <x:v>24</x:v>
      </x:c>
      <x:c r="B25" s="16" t="str">
        <x:v>​7658078417153248532</x:v>
      </x:c>
      <x:c r="C25" s="16" t="str">
        <x:v>Calça pantalona</x:v>
      </x:c>
      <x:c r="D25" s="16" t="str">
        <x:v>Depoimento/confissão</x:v>
      </x:c>
      <x:c r="E25" s="16" t="str">
        <x:v>Eu sou uma grande fã de roupas de alfa e ataria com caimento e acabamento bom.</x:v>
      </x:c>
      <x:c r="F25" s="16" t="str">
        <x:v>Eu comprei [PRODUTO] sem esperar muito, mas [PROVA]. Mostre [DETALHE 1], [DETALHE 2] e [PROVA VISUAL].</x:v>
      </x:c>
      <x:c r="G25" s="16" t="str">
        <x:v>Checklist técnico</x:v>
      </x:c>
      <x:c r="H25" s="16" t="str">
        <x:v>Alta</x:v>
      </x:c>
      <x:c r="I25" s="16" t="str">
        <x:v>Baixo</x:v>
      </x:c>
    </x:row>
    <x:row r="26">
      <x:c r="A26" s="16" t="n">
        <x:v>25</x:v>
      </x:c>
      <x:c r="B26" s="16" t="str">
        <x:v>​7658266454617361671</x:v>
      </x:c>
      <x:c r="C26" s="16" t="str">
        <x:v>Calça pantalona</x:v>
      </x:c>
      <x:c r="D26" s="16" t="str">
        <x:v>Identidade/desejo</x:v>
      </x:c>
      <x:c r="E26" s="16" t="str">
        <x:v>Então, depois de você comprar essa calça marrante aqui do TikTok, a amiga você tem que se controlar</x:v>
      </x:c>
      <x:c r="F26" s="16" t="str">
        <x:v>Quem gosta de [DESEJO/ESTILO] vai amar [PRODUTO]. Apresente dois detalhes comprovados do produto.</x:v>
      </x:c>
      <x:c r="G26" s="16" t="str">
        <x:v>Apresentação de benefícios</x:v>
      </x:c>
      <x:c r="H26" s="16" t="str">
        <x:v>Alta</x:v>
      </x:c>
      <x:c r="I26" s="16" t="str">
        <x:v>Moderado</x:v>
      </x:c>
    </x:row>
    <x:row r="27">
      <x:c r="A27" s="16" t="n">
        <x:v>26</x:v>
      </x:c>
      <x:c r="B27" s="16" t="str">
        <x:v>​7661821903820049685</x:v>
      </x:c>
      <x:c r="C27" s="16" t="str">
        <x:v>Calça pantalona</x:v>
      </x:c>
      <x:c r="D27" s="16" t="str">
        <x:v>Depoimento/confissão</x:v>
      </x:c>
      <x:c r="E27" s="16" t="str">
        <x:v>Toda vez que eu compro calça de alfaetaria, alguns pontos me chamam a atenção.</x:v>
      </x:c>
      <x:c r="F27" s="16" t="str">
        <x:v>Eu comprei [PRODUTO] sem esperar muito, mas [PROVA]. Mostre [DETALHE 1], [DETALHE 2] e [PROVA VISUAL]. Feche com um convite neutro para conferir o produto.</x:v>
      </x:c>
      <x:c r="G27" s="16" t="str">
        <x:v>Checklist técnico</x:v>
      </x:c>
      <x:c r="H27" s="16" t="str">
        <x:v>Alta</x:v>
      </x:c>
      <x:c r="I27" s="16" t="str">
        <x:v>Baixo</x:v>
      </x:c>
    </x:row>
    <x:row r="28">
      <x:c r="A28" s="16" t="n">
        <x:v>27</x:v>
      </x:c>
      <x:c r="B28" s="16" t="str">
        <x:v>​7663238670257868039</x:v>
      </x:c>
      <x:c r="C28" s="16" t="str">
        <x:v>Calça pantalona</x:v>
      </x:c>
      <x:c r="D28" s="16" t="str">
        <x:v>Sem hook falado</x:v>
      </x:c>
      <x:c r="E28" s="16" t="str"/>
      <x:c r="F28" s="16" t="str">
        <x:v>[TEXTO VISUAL CURTO] Apresente dois detalhes comprovados do produto.</x:v>
      </x:c>
      <x:c r="G28" s="16" t="str">
        <x:v>Demonstração silenciosa/texto visual</x:v>
      </x:c>
      <x:c r="H28" s="16" t="str">
        <x:v>N/A</x:v>
      </x:c>
      <x:c r="I28" s="16" t="str">
        <x:v>Baixo</x:v>
      </x:c>
    </x:row>
    <x:row r="29">
      <x:c r="A29" s="16" t="n">
        <x:v>28</x:v>
      </x:c>
      <x:c r="B29" s="16" t="str">
        <x:v>​7663556817318006023</x:v>
      </x:c>
      <x:c r="C29" s="16" t="str">
        <x:v>Calça pantalona</x:v>
      </x:c>
      <x:c r="D29" s="16" t="str">
        <x:v>Pergunta/dor</x:v>
      </x:c>
      <x:c r="E29" s="16" t="str">
        <x:v>Sabe qual é o problema de comprar um tic-toc-shop?</x:v>
      </x:c>
      <x:c r="F29" s="16" t="str">
        <x:v>Você também sofre com [DOR]? Olha o que eu encontrei. Mostre [DETALHE 1], [DETALHE 2] e [PROVA VISUAL]. Feche com um convite neutro para conferir o produto.</x:v>
      </x:c>
      <x:c r="G29" s="16" t="str">
        <x:v>Dor &gt; solução</x:v>
      </x:c>
      <x:c r="H29" s="16" t="str">
        <x:v>Alta</x:v>
      </x:c>
      <x:c r="I29" s="16" t="str">
        <x:v>Moderado</x:v>
      </x:c>
    </x:row>
    <x:row r="30">
      <x:c r="A30" s="16" t="n">
        <x:v>29</x:v>
      </x:c>
      <x:c r="B30" s="16" t="str">
        <x:v>​7665004158394666248</x:v>
      </x:c>
      <x:c r="C30" s="16" t="str">
        <x:v>Calça pantalona</x:v>
      </x:c>
      <x:c r="D30" s="16" t="str">
        <x:v>Identidade/desejo</x:v>
      </x:c>
      <x:c r="E30" s="16" t="str">
        <x:v>Eu falo pra vocês, né, que tem que se controlar com essa calça amarrante, amigas.</x:v>
      </x:c>
      <x:c r="F30" s="16" t="str">
        <x:v>Quem gosta de [DESEJO/ESTILO] vai amar [PRODUTO]. Mostre [DETALHE 1], [DETALHE 2] e [PROVA VISUAL]. Feche com um convite neutro para conferir o produto.</x:v>
      </x:c>
      <x:c r="G30" s="16" t="str">
        <x:v>Depoimento pessoal</x:v>
      </x:c>
      <x:c r="H30" s="16" t="str">
        <x:v>Alta</x:v>
      </x:c>
      <x:c r="I30" s="16" t="str">
        <x:v>Moderado</x:v>
      </x:c>
    </x:row>
    <x:row r="31">
      <x:c r="A31" s="16" t="n">
        <x:v>30</x:v>
      </x:c>
      <x:c r="B31" s="16" t="str">
        <x:v>​7665421947328630023</x:v>
      </x:c>
      <x:c r="C31" s="16" t="str">
        <x:v>Calça pantalona</x:v>
      </x:c>
      <x:c r="D31" s="16" t="str">
        <x:v>Identidade/desejo</x:v>
      </x:c>
      <x:c r="E31" s="16" t="str">
        <x:v>Toda mulher tem que ter uma calça dessa.</x:v>
      </x:c>
      <x:c r="F31" s="16" t="str">
        <x:v>Quem gosta de [DESEJO/ESTILO] vai amar [PRODUTO]. Mostre [DETALHE 1], [DETALHE 2] e [PROVA VISUAL]. Feche com um convite neutro para conferir o produto.</x:v>
      </x:c>
      <x:c r="G31" s="16" t="str">
        <x:v>Identidade/prova social</x:v>
      </x:c>
      <x:c r="H31" s="16" t="str">
        <x:v>Alta</x:v>
      </x:c>
      <x:c r="I31" s="16" t="str">
        <x:v>Baixo</x:v>
      </x:c>
    </x:row>
    <x:row r="32">
      <x:c r="A32" s="16" t="n">
        <x:v>31</x:v>
      </x:c>
      <x:c r="B32" s="16" t="str">
        <x:v>​7665500601802870037</x:v>
      </x:c>
      <x:c r="C32" s="16" t="str">
        <x:v>Calça pantalona</x:v>
      </x:c>
      <x:c r="D32" s="16" t="str">
        <x:v>Depoimento/confissão</x:v>
      </x:c>
      <x:c r="E32" s="16" t="str">
        <x:v>Quando eu compro calça de alfaetaria, alguns pontos me chamam a atenção.</x:v>
      </x:c>
      <x:c r="F32" s="16" t="str">
        <x:v>Eu comprei [PRODUTO] sem esperar muito, mas [PROVA]. Apresente dois detalhes comprovados do produto. Feche com um convite neutro para conferir o produto.</x:v>
      </x:c>
      <x:c r="G32" s="16" t="str">
        <x:v>Checklist técnico</x:v>
      </x:c>
      <x:c r="H32" s="16" t="str">
        <x:v>Alta</x:v>
      </x:c>
      <x:c r="I32" s="16" t="str">
        <x:v>Baixo</x:v>
      </x:c>
    </x:row>
    <x:row r="33">
      <x:c r="A33" s="16" t="n">
        <x:v>32</x:v>
      </x:c>
      <x:c r="B33" s="16" t="str">
        <x:v>​7666837036673879304</x:v>
      </x:c>
      <x:c r="C33" s="16" t="str">
        <x:v>Calça pantalona</x:v>
      </x:c>
      <x:c r="D33" s="16" t="str">
        <x:v>Identidade/desejo</x:v>
      </x:c>
      <x:c r="E33" s="16" t="str">
        <x:v>Meninas, olha essa calça lindíssima, calça social que eu trouxe pra vocês hoje, maravilhosa,</x:v>
      </x:c>
      <x:c r="F33" s="16" t="str">
        <x:v>Quem gosta de [DESEJO/ESTILO] vai amar [PRODUTO]. Apresente dois detalhes comprovados do produto. Feche com um convite neutro para conferir o produto.</x:v>
      </x:c>
      <x:c r="G33" s="16" t="str">
        <x:v>Depoimento pessoal</x:v>
      </x:c>
      <x:c r="H33" s="16" t="str">
        <x:v>Alta</x:v>
      </x:c>
      <x:c r="I33" s="16" t="str">
        <x:v>Baixo</x:v>
      </x:c>
    </x:row>
    <x:row r="34">
      <x:c r="A34" s="16" t="n">
        <x:v>33</x:v>
      </x:c>
      <x:c r="B34" s="16" t="str">
        <x:v>​7666948943414136082</x:v>
      </x:c>
      <x:c r="C34" s="16" t="str">
        <x:v>Calça pantalona</x:v>
      </x:c>
      <x:c r="D34" s="16" t="str">
        <x:v>Declaração direta</x:v>
      </x:c>
      <x:c r="E34" s="16" t="str">
        <x:v>Essa calça maravilhosa foi tipo assim, um achado pra mim aqui no TikTok.</x:v>
      </x:c>
      <x:c r="F34" s="16" t="str">
        <x:v>[PRODUTO] entrega [RESULTADO OBSERVÁVEL] de um jeito simples. Apresente dois detalhes comprovados do produto. Feche com um convite neutro para conferir o produto.</x:v>
      </x:c>
      <x:c r="G34" s="16" t="str">
        <x:v>Apresentação de benefícios</x:v>
      </x:c>
      <x:c r="H34" s="16" t="str">
        <x:v>Baixa</x:v>
      </x:c>
      <x:c r="I34" s="16" t="str">
        <x:v>Moderado</x:v>
      </x:c>
    </x:row>
    <x:row r="35">
      <x:c r="A35" s="16" t="n">
        <x:v>34</x:v>
      </x:c>
      <x:c r="B35" s="16" t="str">
        <x:v>​7667633710447136008</x:v>
      </x:c>
      <x:c r="C35" s="16" t="str">
        <x:v>Calça pantalona</x:v>
      </x:c>
      <x:c r="D35" s="16" t="str">
        <x:v>Identidade/desejo</x:v>
      </x:c>
      <x:c r="E35" s="16" t="str">
        <x:v>Amiga, essa daqui é uma calça marrante que eu comprei aqui no TikTok também.</x:v>
      </x:c>
      <x:c r="F35" s="16" t="str">
        <x:v>Quem gosta de [DESEJO/ESTILO] vai amar [PRODUTO]. Apresente dois detalhes comprovados do produto. Feche com um convite neutro para conferir o produto.</x:v>
      </x:c>
      <x:c r="G35" s="16" t="str">
        <x:v>Depoimento pessoal</x:v>
      </x:c>
      <x:c r="H35" s="16" t="str">
        <x:v>Alta</x:v>
      </x:c>
      <x:c r="I35" s="16" t="str">
        <x:v>Moderado</x:v>
      </x:c>
    </x:row>
    <x:row r="36">
      <x:c r="A36" s="16" t="n">
        <x:v>35</x:v>
      </x:c>
      <x:c r="B36" s="16" t="str">
        <x:v>​7668272560206794002</x:v>
      </x:c>
      <x:c r="C36" s="16" t="str">
        <x:v>Calça pantalona</x:v>
      </x:c>
      <x:c r="D36" s="16" t="str">
        <x:v>Problema/curiosidade</x:v>
      </x:c>
      <x:c r="E36" s="16" t="str">
        <x:v>Eu vou deixar o link dela aqui. E o único problema de comprar essa calça é que eu tenho certeza que você vai querer outras cores também.</x:v>
      </x:c>
      <x:c r="F36" s="16" t="str">
        <x:v>O problema de [SITUAÇÃO] é [DOR]. Foi aí que encontrei [PRODUTO]. Mostre [DETALHE 1], [DETALHE 2] e [PROVA VISUAL]. Feche com um convite neutro para conferir o produto.</x:v>
      </x:c>
      <x:c r="G36" s="16" t="str">
        <x:v>Dor &gt; solução</x:v>
      </x:c>
      <x:c r="H36" s="16" t="str">
        <x:v>Alta</x:v>
      </x:c>
      <x:c r="I36" s="16" t="str">
        <x:v>Moderado</x:v>
      </x:c>
    </x:row>
    <x:row r="37">
      <x:c r="A37" s="16" t="n">
        <x:v>36</x:v>
      </x:c>
      <x:c r="B37" s="16" t="str">
        <x:v>​7668776822292712724</x:v>
      </x:c>
      <x:c r="C37" s="16" t="str">
        <x:v>Calça pantalona</x:v>
      </x:c>
      <x:c r="D37" s="16" t="str">
        <x:v>Trend/prova social</x:v>
      </x:c>
      <x:c r="E37" s="16" t="str">
        <x:v>Essa calça pantalona com amarração está viralizada. Ela veste super bem.</x:v>
      </x:c>
      <x:c r="F37" s="16" t="str">
        <x:v>Todo mundo está usando [PRODUTO], e agora eu entendi por quê. Apresente dois detalhes comprovados do produto. Feche com um convite neutro para conferir o produto.</x:v>
      </x:c>
      <x:c r="G37" s="16" t="str">
        <x:v>Identidade/prova social</x:v>
      </x:c>
      <x:c r="H37" s="16" t="str">
        <x:v>Alta</x:v>
      </x:c>
      <x:c r="I37" s="16" t="str">
        <x:v>Baixo</x:v>
      </x:c>
    </x:row>
    <x:row r="38">
      <x:c r="A38" s="16" t="n">
        <x:v>37</x:v>
      </x:c>
      <x:c r="B38" s="16" t="str">
        <x:v>​7656174686430154005</x:v>
      </x:c>
      <x:c r="C38" s="16" t="str">
        <x:v>Camisola</x:v>
      </x:c>
      <x:c r="D38" s="16" t="str">
        <x:v>Preço/choque</x:v>
      </x:c>
      <x:c r="E38" s="16" t="str">
        <x:v>Se você tá brigada com seu marido, eu tenho aqui a solução por menos de 30 reais.</x:v>
      </x:c>
      <x:c r="F38" s="16" t="str">
        <x:v>[QUANTIDADE/PRODUTO] por [PREÇO]? Eu achei que era pegadinha. Mostre [DETALHE 1], [DETALHE 2] e [PROVA VISUAL]. Feche com um convite neutro para conferir o produto.</x:v>
      </x:c>
      <x:c r="G38" s="16" t="str">
        <x:v>Dor &gt; solução</x:v>
      </x:c>
      <x:c r="H38" s="16" t="str">
        <x:v>Alta</x:v>
      </x:c>
      <x:c r="I38" s="16" t="str">
        <x:v>Moderado</x:v>
      </x:c>
    </x:row>
    <x:row r="39">
      <x:c r="A39" s="16" t="n">
        <x:v>38</x:v>
      </x:c>
      <x:c r="B39" s="16" t="str">
        <x:v>​7621919530511650068</x:v>
      </x:c>
      <x:c r="C39" s="16" t="str">
        <x:v>Cinta modeladora</x:v>
      </x:c>
      <x:c r="D39" s="16" t="str">
        <x:v>Preço/choque</x:v>
      </x:c>
      <x:c r="E39" s="16" t="str">
        <x:v>Cinta modeladora por apenas R$16.</x:v>
      </x:c>
      <x:c r="F39" s="16" t="str">
        <x:v>[QUANTIDADE/PRODUTO] por [PREÇO]? Eu achei que era pegadinha. Mostre [DETALHE 1], [DETALHE 2] e [PROVA VISUAL].</x:v>
      </x:c>
      <x:c r="G39" s="16" t="str">
        <x:v>Apresentação de benefícios</x:v>
      </x:c>
      <x:c r="H39" s="16" t="str">
        <x:v>Estrutural</x:v>
      </x:c>
      <x:c r="I39" s="16" t="str">
        <x:v>Alto</x:v>
      </x:c>
    </x:row>
    <x:row r="40">
      <x:c r="A40" s="16" t="n">
        <x:v>39</x:v>
      </x:c>
      <x:c r="B40" s="16" t="str">
        <x:v>​7647264597598113044</x:v>
      </x:c>
      <x:c r="C40" s="16" t="str">
        <x:v>Cinta modeladora</x:v>
      </x:c>
      <x:c r="D40" s="16" t="str">
        <x:v>Declaração direta</x:v>
      </x:c>
      <x:c r="E40" s="16" t="str">
        <x:v>Fui inventar de usar a dica para deixar de ser quadrada.</x:v>
      </x:c>
      <x:c r="F40" s="16" t="str">
        <x:v>[PRODUTO] entrega [RESULTADO OBSERVÁVEL] de um jeito simples. Mostre [DETALHE 1], [DETALHE 2] e [PROVA VISUAL]. Feche com um convite neutro para conferir o produto.</x:v>
      </x:c>
      <x:c r="G40" s="16" t="str">
        <x:v>Apresentação de benefícios</x:v>
      </x:c>
      <x:c r="H40" s="16" t="str">
        <x:v>Estrutural</x:v>
      </x:c>
      <x:c r="I40" s="16" t="str">
        <x:v>Moderado</x:v>
      </x:c>
    </x:row>
    <x:row r="41">
      <x:c r="A41" s="16" t="n">
        <x:v>40</x:v>
      </x:c>
      <x:c r="B41" s="16" t="str">
        <x:v>​7653117812482919688</x:v>
      </x:c>
      <x:c r="C41" s="16" t="str">
        <x:v>Cinta modeladora</x:v>
      </x:c>
      <x:c r="D41" s="16" t="str">
        <x:v>Preço/choque</x:v>
      </x:c>
      <x:c r="E41" s="16" t="str">
        <x:v>Testando a cinta baratinha do TikTok Shop.</x:v>
      </x:c>
      <x:c r="F41" s="16" t="str">
        <x:v>[QUANTIDADE/PRODUTO] por [PREÇO]? Eu achei que era pegadinha. Mostre [DETALHE 1], [DETALHE 2] e [PROVA VISUAL].</x:v>
      </x:c>
      <x:c r="G41" s="16" t="str">
        <x:v>Demonstração silenciosa/texto visual</x:v>
      </x:c>
      <x:c r="H41" s="16" t="str">
        <x:v>Estrutural</x:v>
      </x:c>
      <x:c r="I41" s="16" t="str">
        <x:v>Baixo</x:v>
      </x:c>
    </x:row>
    <x:row r="42">
      <x:c r="A42" s="16" t="n">
        <x:v>41</x:v>
      </x:c>
      <x:c r="B42" s="16" t="str">
        <x:v>​7653487619380202772</x:v>
      </x:c>
      <x:c r="C42" s="16" t="str">
        <x:v>Cinta modeladora</x:v>
      </x:c>
      <x:c r="D42" s="16" t="str">
        <x:v>Pergunta/dor</x:v>
      </x:c>
      <x:c r="E42" s="16" t="str">
        <x:v>Sua barriga mudou depois da gestação?</x:v>
      </x:c>
      <x:c r="F42" s="16" t="str">
        <x:v>Você também sofre com [DOR]? Olha o que eu encontrei. Mostre [DETALHE 1], [DETALHE 2] e [PROVA VISUAL]. Feche com um convite neutro para conferir o produto.</x:v>
      </x:c>
      <x:c r="G42" s="16" t="str">
        <x:v>Transformação/antes e depois</x:v>
      </x:c>
      <x:c r="H42" s="16" t="str">
        <x:v>Estrutural</x:v>
      </x:c>
      <x:c r="I42" s="16" t="str">
        <x:v>Alto</x:v>
      </x:c>
    </x:row>
    <x:row r="43">
      <x:c r="A43" s="16" t="n">
        <x:v>42</x:v>
      </x:c>
      <x:c r="B43" s="16" t="str">
        <x:v>​7655419776734334228</x:v>
      </x:c>
      <x:c r="C43" s="16" t="str">
        <x:v>Cinta modeladora</x:v>
      </x:c>
      <x:c r="D43" s="16" t="str">
        <x:v>Pergunta/dor</x:v>
      </x:c>
      <x:c r="E43" s="16" t="str">
        <x:v>Sua barriga mudou depois da gestação?</x:v>
      </x:c>
      <x:c r="F43" s="16" t="str">
        <x:v>Você também sofre com [DOR]? Olha o que eu encontrei. Mostre [DETALHE 1], [DETALHE 2] e [PROVA VISUAL]. Feche com um convite neutro para conferir o produto.</x:v>
      </x:c>
      <x:c r="G43" s="16" t="str">
        <x:v>Transformação/antes e depois</x:v>
      </x:c>
      <x:c r="H43" s="16" t="str">
        <x:v>Estrutural</x:v>
      </x:c>
      <x:c r="I43" s="16" t="str">
        <x:v>Alto</x:v>
      </x:c>
    </x:row>
    <x:row r="44">
      <x:c r="A44" s="16" t="n">
        <x:v>43</x:v>
      </x:c>
      <x:c r="B44" s="16" t="str">
        <x:v>​7660243292377959687</x:v>
      </x:c>
      <x:c r="C44" s="16" t="str">
        <x:v>Cinta modeladora</x:v>
      </x:c>
      <x:c r="D44" s="16" t="str">
        <x:v>Problema/curiosidade</x:v>
      </x:c>
      <x:c r="E44" s="16" t="str">
        <x:v>Encontrei a solução para a minha pochete!</x:v>
      </x:c>
      <x:c r="F44" s="16" t="str">
        <x:v>O problema de [SITUAÇÃO] é [DOR]. Foi aí que encontrei [PRODUTO]. Mostre [DETALHE 1], [DETALHE 2] e [PROVA VISUAL]. Feche com um convite neutro para conferir o produto.</x:v>
      </x:c>
      <x:c r="G44" s="16" t="str">
        <x:v>Dor &gt; solução</x:v>
      </x:c>
      <x:c r="H44" s="16" t="str">
        <x:v>Estrutural</x:v>
      </x:c>
      <x:c r="I44" s="16" t="str">
        <x:v>Moderado</x:v>
      </x:c>
    </x:row>
    <x:row r="45">
      <x:c r="A45" s="16" t="n">
        <x:v>44</x:v>
      </x:c>
      <x:c r="B45" s="16" t="str">
        <x:v>​7663742403920022802</x:v>
      </x:c>
      <x:c r="C45" s="16" t="str">
        <x:v>Cinta modeladora</x:v>
      </x:c>
      <x:c r="D45" s="16" t="str">
        <x:v>Preço/choque</x:v>
      </x:c>
      <x:c r="E45" s="16" t="str">
        <x:v>A cinta de menos de R$20 que deixou minha cintura assim.</x:v>
      </x:c>
      <x:c r="F45" s="16" t="str">
        <x:v>[QUANTIDADE/PRODUTO] por [PREÇO]? Eu achei que era pegadinha. Mostre [DETALHE 1], [DETALHE 2] e [PROVA VISUAL].</x:v>
      </x:c>
      <x:c r="G45" s="16" t="str">
        <x:v>Demonstração silenciosa/texto visual</x:v>
      </x:c>
      <x:c r="H45" s="16" t="str">
        <x:v>Estrutural</x:v>
      </x:c>
      <x:c r="I45" s="16" t="str">
        <x:v>Alto</x:v>
      </x:c>
    </x:row>
    <x:row r="46">
      <x:c r="A46" s="16" t="n">
        <x:v>45</x:v>
      </x:c>
      <x:c r="B46" s="16" t="str">
        <x:v>​7666099558031609095</x:v>
      </x:c>
      <x:c r="C46" s="16" t="str">
        <x:v>Cinta modeladora</x:v>
      </x:c>
      <x:c r="D46" s="16" t="str">
        <x:v>Pergunta/dor</x:v>
      </x:c>
      <x:c r="E46" s="16" t="str">
        <x:v>Será que eu troquei de calça no vídeo?</x:v>
      </x:c>
      <x:c r="F46" s="16" t="str">
        <x:v>Você também sofre com [DOR]? Olha o que eu encontrei. Mostre [DETALHE 1], [DETALHE 2] e [PROVA VISUAL]. Feche com um convite neutro para conferir o produto.</x:v>
      </x:c>
      <x:c r="G46" s="16" t="str">
        <x:v>Teste/demonstração</x:v>
      </x:c>
      <x:c r="H46" s="16" t="str">
        <x:v>Estrutural</x:v>
      </x:c>
      <x:c r="I46" s="16" t="str">
        <x:v>Baixo</x:v>
      </x:c>
    </x:row>
    <x:row r="47">
      <x:c r="A47" s="16" t="n">
        <x:v>46</x:v>
      </x:c>
      <x:c r="B47" s="16" t="str">
        <x:v>​7666990429929278740</x:v>
      </x:c>
      <x:c r="C47" s="16" t="str">
        <x:v>Cinta modeladora</x:v>
      </x:c>
      <x:c r="D47" s="16" t="str">
        <x:v>Depoimento/confissão</x:v>
      </x:c>
      <x:c r="E47" s="16" t="str">
        <x:v>Hoje eu sou assim, mas um dia eu estive assim.</x:v>
      </x:c>
      <x:c r="F47" s="16" t="str">
        <x:v>Eu comprei [PRODUTO] sem esperar muito, mas [PROVA]. Mostre [DETALHE 1], [DETALHE 2] e [PROVA VISUAL]. Feche com um convite neutro para conferir o produto.</x:v>
      </x:c>
      <x:c r="G47" s="16" t="str">
        <x:v>Transformação/antes e depois</x:v>
      </x:c>
      <x:c r="H47" s="16" t="str">
        <x:v>Estrutural</x:v>
      </x:c>
      <x:c r="I47" s="16" t="str">
        <x:v>Moderado</x:v>
      </x:c>
    </x:row>
    <x:row r="48">
      <x:c r="A48" s="16" t="n">
        <x:v>47</x:v>
      </x:c>
      <x:c r="B48" s="16" t="str">
        <x:v>​7667944020026346772</x:v>
      </x:c>
      <x:c r="C48" s="16" t="str">
        <x:v>Cinta modeladora</x:v>
      </x:c>
      <x:c r="D48" s="16" t="str">
        <x:v>Declaração direta</x:v>
      </x:c>
      <x:c r="E48" s="16" t="str">
        <x:v>Encontrei um segredo para deixar a barriga mais plana.</x:v>
      </x:c>
      <x:c r="F48" s="16" t="str">
        <x:v>[PRODUTO] entrega [RESULTADO OBSERVÁVEL] de um jeito simples. Mostre [DETALHE 1], [DETALHE 2] e [PROVA VISUAL]. Feche com um convite neutro para conferir o produto.</x:v>
      </x:c>
      <x:c r="G48" s="16" t="str">
        <x:v>Transformação/antes e depois</x:v>
      </x:c>
      <x:c r="H48" s="16" t="str">
        <x:v>Estrutural</x:v>
      </x:c>
      <x:c r="I48" s="16" t="str">
        <x:v>Alto</x:v>
      </x:c>
    </x:row>
    <x:row r="49">
      <x:c r="A49" s="16" t="n">
        <x:v>48</x:v>
      </x:c>
      <x:c r="B49" s="16" t="str">
        <x:v>​7669558622136978696</x:v>
      </x:c>
      <x:c r="C49" s="16" t="str">
        <x:v>Conjunto feminino</x:v>
      </x:c>
      <x:c r="D49" s="16" t="str">
        <x:v>Identidade/desejo</x:v>
      </x:c>
      <x:c r="E49" s="16" t="str">
        <x:v>Meninas, olhem esse conjunto da TikTok Shop. Veste super bem e é muito confortável.</x:v>
      </x:c>
      <x:c r="F49" s="16" t="str">
        <x:v>Quem gosta de [DESEJO/ESTILO] vai amar [PRODUTO]. Apresente dois detalhes comprovados do produto. Feche com um convite neutro para conferir o produto.</x:v>
      </x:c>
      <x:c r="G49" s="16" t="str">
        <x:v>Apresentação de benefícios</x:v>
      </x:c>
      <x:c r="H49" s="16" t="str">
        <x:v>Alta</x:v>
      </x:c>
      <x:c r="I49" s="16" t="str">
        <x:v>Baixo</x:v>
      </x:c>
    </x:row>
    <x:row r="50">
      <x:c r="A50" s="16" t="n">
        <x:v>49</x:v>
      </x:c>
      <x:c r="B50" s="16" t="str">
        <x:v>​7651252361238695186</x:v>
      </x:c>
      <x:c r="C50" s="16" t="str">
        <x:v>Descascador de frutas e legumes</x:v>
      </x:c>
      <x:c r="D50" s="16" t="str">
        <x:v>Depoimento/confissão</x:v>
      </x:c>
      <x:c r="E50" s="16" t="str">
        <x:v>Desde que comprei, nao uso mais faca para descascar frutas e legumes.</x:v>
      </x:c>
      <x:c r="F50" s="16" t="str">
        <x:v>Eu comprei [PRODUTO] sem esperar muito, mas [PROVA]. Apresente dois detalhes comprovados do produto. Feche com um convite neutro para conferir o produto.</x:v>
      </x:c>
      <x:c r="G50" s="16" t="str">
        <x:v>Dor &gt; solução</x:v>
      </x:c>
      <x:c r="H50" s="16" t="str">
        <x:v>Alta</x:v>
      </x:c>
      <x:c r="I50" s="16" t="str">
        <x:v>Baixo</x:v>
      </x:c>
    </x:row>
    <x:row r="51">
      <x:c r="A51" s="16" t="n">
        <x:v>50</x:v>
      </x:c>
      <x:c r="B51" s="16" t="str">
        <x:v>​7650992235663641874</x:v>
      </x:c>
      <x:c r="C51" s="16" t="str">
        <x:v>Fatiador/cortador de legumes</x:v>
      </x:c>
      <x:c r="D51" s="16" t="str">
        <x:v>Sem hook falado</x:v>
      </x:c>
      <x:c r="E51" s="16" t="str"/>
      <x:c r="F51" s="16" t="str">
        <x:v>[TEXTO VISUAL CURTO] Apresente dois detalhes comprovados do produto.</x:v>
      </x:c>
      <x:c r="G51" s="16" t="str">
        <x:v>Demonstração silenciosa/texto visual</x:v>
      </x:c>
      <x:c r="H51" s="16" t="str">
        <x:v>N/A</x:v>
      </x:c>
      <x:c r="I51" s="16" t="str">
        <x:v>Baixo</x:v>
      </x:c>
    </x:row>
    <x:row r="52">
      <x:c r="A52" s="16" t="n">
        <x:v>51</x:v>
      </x:c>
      <x:c r="B52" s="16" t="str">
        <x:v>​7651690187260546324</x:v>
      </x:c>
      <x:c r="C52" s="16" t="str">
        <x:v>Fatiador/cortador de legumes</x:v>
      </x:c>
      <x:c r="D52" s="16" t="str">
        <x:v>Sem hook falado</x:v>
      </x:c>
      <x:c r="E52" s="16" t="str"/>
      <x:c r="F52" s="16" t="str">
        <x:v>[TEXTO VISUAL CURTO] Apresente dois detalhes comprovados do produto.</x:v>
      </x:c>
      <x:c r="G52" s="16" t="str">
        <x:v>Demonstração silenciosa/texto visual</x:v>
      </x:c>
      <x:c r="H52" s="16" t="str">
        <x:v>N/A</x:v>
      </x:c>
      <x:c r="I52" s="16" t="str">
        <x:v>Baixo</x:v>
      </x:c>
    </x:row>
    <x:row r="53">
      <x:c r="A53" s="16" t="n">
        <x:v>52</x:v>
      </x:c>
      <x:c r="B53" s="16" t="str">
        <x:v>​7652124032891981064</x:v>
      </x:c>
      <x:c r="C53" s="16" t="str">
        <x:v>Fatiador/cortador de legumes</x:v>
      </x:c>
      <x:c r="D53" s="16" t="str">
        <x:v>Sem hook falado</x:v>
      </x:c>
      <x:c r="E53" s="16" t="str"/>
      <x:c r="F53" s="16" t="str">
        <x:v>[TEXTO VISUAL CURTO] Apresente dois detalhes comprovados do produto.</x:v>
      </x:c>
      <x:c r="G53" s="16" t="str">
        <x:v>Demonstração silenciosa/texto visual</x:v>
      </x:c>
      <x:c r="H53" s="16" t="str">
        <x:v>N/A</x:v>
      </x:c>
      <x:c r="I53" s="16" t="str">
        <x:v>Baixo</x:v>
      </x:c>
    </x:row>
    <x:row r="54">
      <x:c r="A54" s="16" t="n">
        <x:v>53</x:v>
      </x:c>
      <x:c r="B54" s="16" t="str">
        <x:v>​7654105916635221269</x:v>
      </x:c>
      <x:c r="C54" s="16" t="str">
        <x:v>Fatiador/cortador de legumes</x:v>
      </x:c>
      <x:c r="D54" s="16" t="str">
        <x:v>Preço/choque</x:v>
      </x:c>
      <x:c r="E54" s="16" t="str">
        <x:v>Serio, eu nao sei quem botou esse preco.</x:v>
      </x:c>
      <x:c r="F54" s="16" t="str">
        <x:v>[QUANTIDADE/PRODUTO] por [PREÇO]? Eu achei que era pegadinha. Mostre [DETALHE 1], [DETALHE 2] e [PROVA VISUAL]. Feche com um convite neutro para conferir o produto.</x:v>
      </x:c>
      <x:c r="G54" s="16" t="str">
        <x:v>Oferta direta ultracurta</x:v>
      </x:c>
      <x:c r="H54" s="16" t="str">
        <x:v>Alta</x:v>
      </x:c>
      <x:c r="I54" s="16" t="str">
        <x:v>Moderado</x:v>
      </x:c>
    </x:row>
    <x:row r="55">
      <x:c r="A55" s="16" t="n">
        <x:v>54</x:v>
      </x:c>
      <x:c r="B55" s="16" t="str">
        <x:v>​7654161058545913096</x:v>
      </x:c>
      <x:c r="C55" s="16" t="str">
        <x:v>Fatiador/cortador de legumes</x:v>
      </x:c>
      <x:c r="D55" s="16" t="str">
        <x:v>Demonstração</x:v>
      </x:c>
      <x:c r="E55" s="16" t="str">
        <x:v>Olha so, o melhor fatiador de legumes do Brasil.</x:v>
      </x:c>
      <x:c r="F55" s="16" t="str">
        <x:v>Olha o que [PRODUTO] faz em [TEMPO/USO]. Apresente dois detalhes comprovados do produto. Feche com um convite neutro para conferir o produto.</x:v>
      </x:c>
      <x:c r="G55" s="16" t="str">
        <x:v>Apresentação de benefícios</x:v>
      </x:c>
      <x:c r="H55" s="16" t="str">
        <x:v>Alta</x:v>
      </x:c>
      <x:c r="I55" s="16" t="str">
        <x:v>Baixo</x:v>
      </x:c>
    </x:row>
    <x:row r="56">
      <x:c r="A56" s="16" t="n">
        <x:v>55</x:v>
      </x:c>
      <x:c r="B56" s="16" t="str">
        <x:v>​7654230036014206229</x:v>
      </x:c>
      <x:c r="C56" s="16" t="str">
        <x:v>Fatiador/cortador de legumes</x:v>
      </x:c>
      <x:c r="D56" s="16" t="str">
        <x:v>Preço/choque</x:v>
      </x:c>
      <x:c r="E56" s="16" t="str">
        <x:v>Serio, nao sei quem botou esse preco.</x:v>
      </x:c>
      <x:c r="F56" s="16" t="str">
        <x:v>[QUANTIDADE/PRODUTO] por [PREÇO]? Eu achei que era pegadinha. Mostre [DETALHE 1], [DETALHE 2] e [PROVA VISUAL]. Feche com um convite neutro para conferir o produto.</x:v>
      </x:c>
      <x:c r="G56" s="16" t="str">
        <x:v>Oferta direta ultracurta</x:v>
      </x:c>
      <x:c r="H56" s="16" t="str">
        <x:v>Alta</x:v>
      </x:c>
      <x:c r="I56" s="16" t="str">
        <x:v>Moderado</x:v>
      </x:c>
    </x:row>
    <x:row r="57">
      <x:c r="A57" s="16" t="n">
        <x:v>56</x:v>
      </x:c>
      <x:c r="B57" s="16" t="str">
        <x:v>​7655920266190703892</x:v>
      </x:c>
      <x:c r="C57" s="16" t="str">
        <x:v>Fatiador/cortador de legumes</x:v>
      </x:c>
      <x:c r="D57" s="16" t="str">
        <x:v>Sem hook falado</x:v>
      </x:c>
      <x:c r="E57" s="16" t="str"/>
      <x:c r="F57" s="16" t="str">
        <x:v>[TEXTO VISUAL CURTO] Apresente dois detalhes comprovados do produto.</x:v>
      </x:c>
      <x:c r="G57" s="16" t="str">
        <x:v>Demonstração silenciosa/texto visual</x:v>
      </x:c>
      <x:c r="H57" s="16" t="str">
        <x:v>N/A</x:v>
      </x:c>
      <x:c r="I57" s="16" t="str">
        <x:v>Baixo</x:v>
      </x:c>
    </x:row>
    <x:row r="58">
      <x:c r="A58" s="16" t="n">
        <x:v>57</x:v>
      </x:c>
      <x:c r="B58" s="16" t="str">
        <x:v>​7656130920914734344</x:v>
      </x:c>
      <x:c r="C58" s="16" t="str">
        <x:v>Fatiador/cortador de legumes</x:v>
      </x:c>
      <x:c r="D58" s="16" t="str">
        <x:v>Pergunta/dor</x:v>
      </x:c>
      <x:c r="E58" s="16" t="str">
        <x:v>Parece inofensivo, mas e o terror da mulherada, ta? Pelo menos pra mim, gente, sinceramente.</x:v>
      </x:c>
      <x:c r="F58" s="16" t="str">
        <x:v>Você também sofre com [DOR]? Olha o que eu encontrei. Mostre [DETALHE 1], [DETALHE 2] e [PROVA VISUAL]. Feche com um convite neutro para conferir o produto.</x:v>
      </x:c>
      <x:c r="G58" s="16" t="str">
        <x:v>Teste/demonstração</x:v>
      </x:c>
      <x:c r="H58" s="16" t="str">
        <x:v>Alta</x:v>
      </x:c>
      <x:c r="I58" s="16" t="str">
        <x:v>Baixo</x:v>
      </x:c>
    </x:row>
    <x:row r="59">
      <x:c r="A59" s="16" t="n">
        <x:v>58</x:v>
      </x:c>
      <x:c r="B59" s="16" t="str">
        <x:v>​7656442067308104980</x:v>
      </x:c>
      <x:c r="C59" s="16" t="str">
        <x:v>Fatiador/cortador de legumes</x:v>
      </x:c>
      <x:c r="D59" s="16" t="str">
        <x:v>Sem hook falado</x:v>
      </x:c>
      <x:c r="E59" s="16" t="str"/>
      <x:c r="F59" s="16" t="str">
        <x:v>[TEXTO VISUAL CURTO] Apresente dois detalhes comprovados do produto.</x:v>
      </x:c>
      <x:c r="G59" s="16" t="str">
        <x:v>Demonstração silenciosa/texto visual</x:v>
      </x:c>
      <x:c r="H59" s="16" t="str">
        <x:v>N/A</x:v>
      </x:c>
      <x:c r="I59" s="16" t="str">
        <x:v>Baixo</x:v>
      </x:c>
    </x:row>
    <x:row r="60">
      <x:c r="A60" s="16" t="n">
        <x:v>59</x:v>
      </x:c>
      <x:c r="B60" s="16" t="str">
        <x:v>​7657719918648986901</x:v>
      </x:c>
      <x:c r="C60" s="16" t="str">
        <x:v>Fatiador/cortador de legumes</x:v>
      </x:c>
      <x:c r="D60" s="16" t="str">
        <x:v>Pergunta/dor</x:v>
      </x:c>
      <x:c r="E60" s="16" t="str">
        <x:v>Quer fatiar legumes assim?</x:v>
      </x:c>
      <x:c r="F60" s="16" t="str">
        <x:v>Você também sofre com [DOR]? Olha o que eu encontrei. Mostre [DETALHE 1], [DETALHE 2] e [PROVA VISUAL]. Feche com um convite neutro para conferir o produto.</x:v>
      </x:c>
      <x:c r="G60" s="16" t="str">
        <x:v>Apresentação de benefícios</x:v>
      </x:c>
      <x:c r="H60" s="16" t="str">
        <x:v>Alta</x:v>
      </x:c>
      <x:c r="I60" s="16" t="str">
        <x:v>Baixo</x:v>
      </x:c>
    </x:row>
    <x:row r="61">
      <x:c r="A61" s="16" t="n">
        <x:v>60</x:v>
      </x:c>
      <x:c r="B61" s="16" t="str">
        <x:v>​7642134681743379733</x:v>
      </x:c>
      <x:c r="C61" s="16" t="str">
        <x:v>Kit de body splashes masculinos</x:v>
      </x:c>
      <x:c r="D61" s="16" t="str">
        <x:v>Preço/choque</x:v>
      </x:c>
      <x:c r="E61" s="16" t="str">
        <x:v>4 bores flash por menos de R$ 30 e na promoção menos de R$ 25.</x:v>
      </x:c>
      <x:c r="F61" s="16" t="str">
        <x:v>[QUANTIDADE/PRODUTO] por [PREÇO]? Eu achei que era pegadinha. Apresente dois detalhes comprovados do produto. Feche com um convite neutro para conferir o produto.</x:v>
      </x:c>
      <x:c r="G61" s="16" t="str">
        <x:v>Oferta direta ultracurta</x:v>
      </x:c>
      <x:c r="H61" s="16" t="str">
        <x:v>Baixa</x:v>
      </x:c>
      <x:c r="I61" s="16" t="str">
        <x:v>Moderado</x:v>
      </x:c>
    </x:row>
    <x:row r="62">
      <x:c r="A62" s="16" t="n">
        <x:v>61</x:v>
      </x:c>
      <x:c r="B62" s="16" t="str">
        <x:v>​7643551744722521365</x:v>
      </x:c>
      <x:c r="C62" s="16" t="str">
        <x:v>Kit de body splashes masculinos</x:v>
      </x:c>
      <x:c r="D62" s="16" t="str">
        <x:v>Preço/choque</x:v>
      </x:c>
      <x:c r="E62" s="16" t="str">
        <x:v>4 bores plaises masculinos por menos de 33 reais, eu achei que era pegadinho, cheiro</x:v>
      </x:c>
      <x:c r="F62" s="16" t="str">
        <x:v>[QUANTIDADE/PRODUTO] por [PREÇO]? Eu achei que era pegadinha. Apresente dois detalhes comprovados do produto. Feche com um convite neutro para conferir o produto.</x:v>
      </x:c>
      <x:c r="G62" s="16" t="str">
        <x:v>Oferta direta ultracurta</x:v>
      </x:c>
      <x:c r="H62" s="16" t="str">
        <x:v>Baixa</x:v>
      </x:c>
      <x:c r="I62" s="16" t="str">
        <x:v>Moderado</x:v>
      </x:c>
    </x:row>
    <x:row r="63">
      <x:c r="A63" s="16" t="n">
        <x:v>62</x:v>
      </x:c>
      <x:c r="B63" s="16" t="str">
        <x:v>​7645283708060175636</x:v>
      </x:c>
      <x:c r="C63" s="16" t="str">
        <x:v>Kit de body splashes masculinos</x:v>
      </x:c>
      <x:c r="D63" s="16" t="str">
        <x:v>Preço/choque</x:v>
      </x:c>
      <x:c r="E63" s="16" t="str">
        <x:v>4 bóres plais de masculinos por menos de 40 reais e agora saindo por menos de 35.</x:v>
      </x:c>
      <x:c r="F63" s="16" t="str">
        <x:v>[QUANTIDADE/PRODUTO] por [PREÇO]? Eu achei que era pegadinha. Apresente dois detalhes comprovados do produto. Feche com um convite neutro para conferir o produto.</x:v>
      </x:c>
      <x:c r="G63" s="16" t="str">
        <x:v>Oferta direta ultracurta</x:v>
      </x:c>
      <x:c r="H63" s="16" t="str">
        <x:v>Baixa</x:v>
      </x:c>
      <x:c r="I63" s="16" t="str">
        <x:v>Moderado</x:v>
      </x:c>
    </x:row>
    <x:row r="64">
      <x:c r="A64" s="16" t="n">
        <x:v>63</x:v>
      </x:c>
      <x:c r="B64" s="16" t="str">
        <x:v>​7647862663225085204</x:v>
      </x:c>
      <x:c r="C64" s="16" t="str">
        <x:v>Kit de body splashes masculinos</x:v>
      </x:c>
      <x:c r="D64" s="16" t="str">
        <x:v>Preço/choque</x:v>
      </x:c>
      <x:c r="E64" s="16" t="str">
        <x:v>Tá muito barato, são 69% de desconto e hoje pode ser o último dia.</x:v>
      </x:c>
      <x:c r="F64" s="16" t="str">
        <x:v>[QUANTIDADE/PRODUTO] por [PREÇO]? Eu achei que era pegadinha. Mostre [DETALHE 1], [DETALHE 2] e [PROVA VISUAL]. Feche com um convite neutro para conferir o produto.</x:v>
      </x:c>
      <x:c r="G64" s="16" t="str">
        <x:v>Oferta direta ultracurta</x:v>
      </x:c>
      <x:c r="H64" s="16" t="str">
        <x:v>Baixa</x:v>
      </x:c>
      <x:c r="I64" s="16" t="str">
        <x:v>Moderado</x:v>
      </x:c>
    </x:row>
    <x:row r="65">
      <x:c r="A65" s="16" t="n">
        <x:v>64</x:v>
      </x:c>
      <x:c r="B65" s="16" t="str">
        <x:v>​7649047658216148231</x:v>
      </x:c>
      <x:c r="C65" s="16" t="str">
        <x:v>Kit de body splashes masculinos</x:v>
      </x:c>
      <x:c r="D65" s="16" t="str">
        <x:v>Pergunta/dor</x:v>
      </x:c>
      <x:c r="E65" s="16" t="str">
        <x:v>E aí?</x:v>
      </x:c>
      <x:c r="F65" s="16" t="str">
        <x:v>Você também sofre com [DOR]? Olha o que eu encontrei. Apresente dois detalhes comprovados do produto.</x:v>
      </x:c>
      <x:c r="G65" s="16" t="str">
        <x:v>Apresentação de benefícios</x:v>
      </x:c>
      <x:c r="H65" s="16" t="str">
        <x:v>Baixa</x:v>
      </x:c>
      <x:c r="I65" s="16" t="str">
        <x:v>Baixo</x:v>
      </x:c>
    </x:row>
    <x:row r="66">
      <x:c r="A66" s="16" t="n">
        <x:v>65</x:v>
      </x:c>
      <x:c r="B66" s="16" t="str">
        <x:v>​7655451196701953300</x:v>
      </x:c>
      <x:c r="C66" s="16" t="str">
        <x:v>Kit de body splashes masculinos</x:v>
      </x:c>
      <x:c r="D66" s="16" t="str">
        <x:v>Preço/choque</x:v>
      </x:c>
      <x:c r="E66" s="16" t="str">
        <x:v>que te masculino com quatro bores plaises por um preço que eu jurava ser de um só.</x:v>
      </x:c>
      <x:c r="F66" s="16" t="str">
        <x:v>[QUANTIDADE/PRODUTO] por [PREÇO]? Eu achei que era pegadinha. Apresente dois detalhes comprovados do produto. Feche com um convite neutro para conferir o produto.</x:v>
      </x:c>
      <x:c r="G66" s="16" t="str">
        <x:v>Oferta direta ultracurta</x:v>
      </x:c>
      <x:c r="H66" s="16" t="str">
        <x:v>Baixa</x:v>
      </x:c>
      <x:c r="I66" s="16" t="str">
        <x:v>Moderado</x:v>
      </x:c>
    </x:row>
    <x:row r="67">
      <x:c r="A67" s="16" t="n">
        <x:v>66</x:v>
      </x:c>
      <x:c r="B67" s="16" t="str">
        <x:v>​7655814557306326279</x:v>
      </x:c>
      <x:c r="C67" s="16" t="str">
        <x:v>Kit de body splashes masculinos</x:v>
      </x:c>
      <x:c r="D67" s="16" t="str">
        <x:v>Pergunta/dor</x:v>
      </x:c>
      <x:c r="E67" s="16" t="str">
        <x:v>O que está o seu cara?</x:v>
      </x:c>
      <x:c r="F67" s="16" t="str">
        <x:v>Você também sofre com [DOR]? Olha o que eu encontrei. Apresente dois detalhes comprovados do produto.</x:v>
      </x:c>
      <x:c r="G67" s="16" t="str">
        <x:v>Depoimento pessoal</x:v>
      </x:c>
      <x:c r="H67" s="16" t="str">
        <x:v>Baixa</x:v>
      </x:c>
      <x:c r="I67" s="16" t="str">
        <x:v>Baixo</x:v>
      </x:c>
    </x:row>
    <x:row r="68">
      <x:c r="A68" s="16" t="n">
        <x:v>67</x:v>
      </x:c>
      <x:c r="B68" s="16" t="str">
        <x:v>​7658746614630108436</x:v>
      </x:c>
      <x:c r="C68" s="16" t="str">
        <x:v>Kit de body splashes masculinos</x:v>
      </x:c>
      <x:c r="D68" s="16" t="str">
        <x:v>Identidade/desejo</x:v>
      </x:c>
      <x:c r="E68" s="16" t="str">
        <x:v>Quem gosta de andar cheiroso vai amar esse kit.</x:v>
      </x:c>
      <x:c r="F68" s="16" t="str">
        <x:v>Quem gosta de [DESEJO/ESTILO] vai amar [PRODUTO]. Apresente dois detalhes comprovados do produto. Feche com um convite neutro para conferir o produto.</x:v>
      </x:c>
      <x:c r="G68" s="16" t="str">
        <x:v>Identidade/prova social</x:v>
      </x:c>
      <x:c r="H68" s="16" t="str">
        <x:v>Alta</x:v>
      </x:c>
      <x:c r="I68" s="16" t="str">
        <x:v>Moderado</x:v>
      </x:c>
    </x:row>
    <x:row r="69">
      <x:c r="A69" s="16" t="n">
        <x:v>68</x:v>
      </x:c>
      <x:c r="B69" s="16" t="str">
        <x:v>​7660560041065368853</x:v>
      </x:c>
      <x:c r="C69" s="16" t="str">
        <x:v>Kit de body splashes masculinos</x:v>
      </x:c>
      <x:c r="D69" s="16" t="str">
        <x:v>Preço/choque</x:v>
      </x:c>
      <x:c r="E69" s="16" t="str">
        <x:v>Kit com quatro bora espleste masculinos inspirados em fragrances árabes famosas por menos de</x:v>
      </x:c>
      <x:c r="F69" s="16" t="str">
        <x:v>[QUANTIDADE/PRODUTO] por [PREÇO]? Eu achei que era pegadinha. Apresente dois detalhes comprovados do produto. Feche com um convite neutro para conferir o produto.</x:v>
      </x:c>
      <x:c r="G69" s="16" t="str">
        <x:v>Apresentação de benefícios</x:v>
      </x:c>
      <x:c r="H69" s="16" t="str">
        <x:v>Baixa</x:v>
      </x:c>
      <x:c r="I69" s="16" t="str">
        <x:v>Moderado</x:v>
      </x:c>
    </x:row>
    <x:row r="70">
      <x:c r="A70" s="16" t="n">
        <x:v>69</x:v>
      </x:c>
      <x:c r="B70" s="16" t="str">
        <x:v>​7668325517308759316</x:v>
      </x:c>
      <x:c r="C70" s="16" t="str">
        <x:v>Kit de body splashes masculinos</x:v>
      </x:c>
      <x:c r="D70" s="16" t="str">
        <x:v>Preço/choque</x:v>
      </x:c>
      <x:c r="E70" s="16" t="str">
        <x:v>Quatro bores plaises masculinos por menos de 30 reais na oferta relâmpago.</x:v>
      </x:c>
      <x:c r="F70" s="16" t="str">
        <x:v>[QUANTIDADE/PRODUTO] por [PREÇO]? Eu achei que era pegadinha. Apresente dois detalhes comprovados do produto. Feche com um convite neutro para conferir o produto.</x:v>
      </x:c>
      <x:c r="G70" s="16" t="str">
        <x:v>Oferta direta ultracurta</x:v>
      </x:c>
      <x:c r="H70" s="16" t="str">
        <x:v>Baixa</x:v>
      </x:c>
      <x:c r="I70" s="16" t="str">
        <x:v>Moderado</x:v>
      </x:c>
    </x:row>
    <x:row r="71">
      <x:c r="A71" s="16" t="n">
        <x:v>70</x:v>
      </x:c>
      <x:c r="B71" s="16" t="str">
        <x:v>​7645995437526093077</x:v>
      </x:c>
      <x:c r="C71" s="16" t="str">
        <x:v>Kit de formas de silicone</x:v>
      </x:c>
      <x:c r="D71" s="16" t="str">
        <x:v>Depoimento/confissão</x:v>
      </x:c>
      <x:c r="E71" s="16" t="str">
        <x:v>Menina, eu to chocada com isso aqui.</x:v>
      </x:c>
      <x:c r="F71" s="16" t="str">
        <x:v>Eu comprei [PRODUTO] sem esperar muito, mas [PROVA]. Apresente dois detalhes comprovados do produto. Feche com um convite neutro para conferir o produto.</x:v>
      </x:c>
      <x:c r="G71" s="16" t="str">
        <x:v>Depoimento pessoal</x:v>
      </x:c>
      <x:c r="H71" s="16" t="str">
        <x:v>Alta</x:v>
      </x:c>
      <x:c r="I71" s="16" t="str">
        <x:v>Moderado</x:v>
      </x:c>
    </x:row>
    <x:row r="72">
      <x:c r="A72" s="16" t="n">
        <x:v>71</x:v>
      </x:c>
      <x:c r="B72" s="16" t="str">
        <x:v>​7646067571699109141</x:v>
      </x:c>
      <x:c r="C72" s="16" t="str">
        <x:v>Kit de formas de silicone</x:v>
      </x:c>
      <x:c r="D72" s="16" t="str">
        <x:v>Depoimento/confissão</x:v>
      </x:c>
      <x:c r="E72" s="16" t="str">
        <x:v>Gente, olha esse kit com seis formas de silicone pra air fryer que eu achei.</x:v>
      </x:c>
      <x:c r="F72" s="16" t="str">
        <x:v>Eu comprei [PRODUTO] sem esperar muito, mas [PROVA]. Apresente dois detalhes comprovados do produto. Feche com um convite neutro para conferir o produto.</x:v>
      </x:c>
      <x:c r="G72" s="16" t="str">
        <x:v>Depoimento pessoal</x:v>
      </x:c>
      <x:c r="H72" s="16" t="str">
        <x:v>Alta</x:v>
      </x:c>
      <x:c r="I72" s="16" t="str">
        <x:v>Moderado</x:v>
      </x:c>
    </x:row>
    <x:row r="73">
      <x:c r="A73" s="16" t="n">
        <x:v>72</x:v>
      </x:c>
      <x:c r="B73" s="16" t="str">
        <x:v>​7659856458086911253</x:v>
      </x:c>
      <x:c r="C73" s="16" t="str">
        <x:v>Kit de potes</x:v>
      </x:c>
      <x:c r="D73" s="16" t="str">
        <x:v>Preço/choque</x:v>
      </x:c>
      <x:c r="E73" s="16" t="str">
        <x:v>Bug do TikTok Shop: de R$ 79,90 por apenas R$ 39,90 no kit com 12 potes de 800 ml. Eu nao acreditei quando vi.</x:v>
      </x:c>
      <x:c r="F73" s="16" t="str">
        <x:v>[QUANTIDADE/PRODUTO] por [PREÇO]? Eu achei que era pegadinha. Apresente dois detalhes comprovados do produto. Feche com um convite neutro para conferir o produto.</x:v>
      </x:c>
      <x:c r="G73" s="16" t="str">
        <x:v>Depoimento pessoal</x:v>
      </x:c>
      <x:c r="H73" s="16" t="str">
        <x:v>Alta</x:v>
      </x:c>
      <x:c r="I73" s="16" t="str">
        <x:v>Moderado</x:v>
      </x:c>
    </x:row>
    <x:row r="74">
      <x:c r="A74" s="16" t="n">
        <x:v>73</x:v>
      </x:c>
      <x:c r="B74" s="16" t="str">
        <x:v>​7630936938945596680</x:v>
      </x:c>
      <x:c r="C74" s="16" t="str">
        <x:v>Legging fitness</x:v>
      </x:c>
      <x:c r="D74" s="16" t="str">
        <x:v>Declaração direta</x:v>
      </x:c>
      <x:c r="E74" s="16" t="str">
        <x:v>Essa aqui tem muita compressao e nao marca o tabaco.</x:v>
      </x:c>
      <x:c r="F74" s="16" t="str">
        <x:v>[PRODUTO] entrega [RESULTADO OBSERVÁVEL] de um jeito simples. Mostre [DETALHE 1], [DETALHE 2] e [PROVA VISUAL]. Feche com um convite neutro para conferir o produto.</x:v>
      </x:c>
      <x:c r="G74" s="16" t="str">
        <x:v>Apresentação de benefícios</x:v>
      </x:c>
      <x:c r="H74" s="16" t="str">
        <x:v>Alta</x:v>
      </x:c>
      <x:c r="I74" s="16" t="str">
        <x:v>Moderado</x:v>
      </x:c>
    </x:row>
    <x:row r="75">
      <x:c r="A75" s="16" t="n">
        <x:v>74</x:v>
      </x:c>
      <x:c r="B75" s="16" t="str">
        <x:v>​7658416944932064532</x:v>
      </x:c>
      <x:c r="C75" s="16" t="str">
        <x:v>Máquina compacta de pão e bolo</x:v>
      </x:c>
      <x:c r="D75" s="16" t="str">
        <x:v>Trend/prova social</x:v>
      </x:c>
      <x:c r="E75" s="16" t="str">
        <x:v>O TikTok não cansa de me fazer comprar.</x:v>
      </x:c>
      <x:c r="F75" s="16" t="str">
        <x:v>Todo mundo está usando [PRODUTO], e agora eu entendi por quê. Apresente dois detalhes comprovados do produto. Feche com um convite neutro para conferir o produto.</x:v>
      </x:c>
      <x:c r="G75" s="16" t="str">
        <x:v>Apresentação de benefícios</x:v>
      </x:c>
      <x:c r="H75" s="16" t="str">
        <x:v>Alta</x:v>
      </x:c>
      <x:c r="I75" s="16" t="str">
        <x:v>Moderado</x:v>
      </x:c>
    </x:row>
    <x:row r="76">
      <x:c r="A76" s="16" t="n">
        <x:v>75</x:v>
      </x:c>
      <x:c r="B76" s="16" t="str">
        <x:v>​Vd0000001</x:v>
      </x:c>
      <x:c r="C76" s="16" t="str">
        <x:v>Perfume masculino inspirado</x:v>
      </x:c>
      <x:c r="D76" s="16" t="str">
        <x:v>Pergunta/dor</x:v>
      </x:c>
      <x:c r="E76" s="16" t="str">
        <x:v>Nossa, passageira loira e a morena, hein? Vamos ver se elas vão prestar atenção no cheiro.</x:v>
      </x:c>
      <x:c r="F76" s="16" t="str">
        <x:v>Você também sofre com [DOR]? Olha o que eu encontrei. Mostre [DETALHE 1], [DETALHE 2] e [PROVA VISUAL]. Feche com um convite neutro para conferir o produto.</x:v>
      </x:c>
      <x:c r="G76" s="16" t="str">
        <x:v>Diálogo encenado + prova social</x:v>
      </x:c>
      <x:c r="H76" s="16" t="str">
        <x:v>Alta</x:v>
      </x:c>
      <x:c r="I76" s="16" t="str">
        <x:v>Moderado</x:v>
      </x:c>
    </x:row>
  </x:sheetData>
  <x:pageMargins left="0.7" right="0.7" top="0.75" bottom="0.75" header="0.3" footer="0.3"/>
  <x:tableParts count="1">
    <x:tablePart xmlns:r="http://schemas.openxmlformats.org/officeDocument/2006/relationships" r:id="Raed7cee120e445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50" hidden="0" customWidth="1"/>
    <x:col min="6" max="6" width="50" hidden="0" customWidth="1"/>
    <x:col min="7" max="7" width="50" hidden="0" customWidth="1"/>
    <x:col min="8" max="8" width="50" hidden="0" customWidth="1"/>
    <x:col min="9" max="9" width="22" hidden="0" customWidth="1"/>
  </x:cols>
  <x:sheetData>
    <x:row r="1">
      <x:c r="A1" s="13" t="str">
        <x:v>Nº</x:v>
      </x:c>
      <x:c r="B1" s="14" t="str">
        <x:v>ID</x:v>
      </x:c>
      <x:c r="C1" s="14" t="str">
        <x:v>Produto</x:v>
      </x:c>
      <x:c r="D1" s="14" t="str">
        <x:v>Mecanismo</x:v>
      </x:c>
      <x:c r="E1" s="14" t="str">
        <x:v>Corpo</x:v>
      </x:c>
      <x:c r="F1" s="14" t="str">
        <x:v>Prova</x:v>
      </x:c>
      <x:c r="G1" s="14" t="str">
        <x:v>Objeção</x:v>
      </x:c>
      <x:c r="H1" s="14" t="str">
        <x:v>Oferta</x:v>
      </x:c>
      <x:c r="I1" s="15" t="str">
        <x:v>Risco</x:v>
      </x:c>
    </x:row>
    <x:row r="2">
      <x:c r="A2" s="16" t="n">
        <x:v>1</x:v>
      </x:c>
      <x:c r="B2" s="16" t="str">
        <x:v>​7671368504032906504</x:v>
      </x:c>
      <x:c r="C2" s="16" t="str">
        <x:v>Calça legging bailarina flare</x:v>
      </x:c>
      <x:c r="D2" s="16" t="str">
        <x:v>Depoimento pessoal</x:v>
      </x:c>
      <x:c r="E2" s="16" t="str">
        <x:v>Não fica transparente e é super confortável, do jeitinho que eu queria.</x:v>
      </x:c>
      <x:c r="F2" s="16" t="str">
        <x:v>Não fica transparente e é super confortável, do jeitinho que eu queria.</x:v>
      </x:c>
      <x:c r="G2" s="16" t="str">
        <x:v>Não fica transparente e é super confortável, do jeitinho que eu queria.</x:v>
      </x:c>
      <x:c r="H2" s="16" t="str"/>
      <x:c r="I2" s="16" t="str">
        <x:v>Baixo</x:v>
      </x:c>
    </x:row>
    <x:row r="3">
      <x:c r="A3" s="16" t="n">
        <x:v>2</x:v>
      </x:c>
      <x:c r="B3" s="16" t="str">
        <x:v>​7595297903053212946</x:v>
      </x:c>
      <x:c r="C3" s="16" t="str">
        <x:v>Calça legging flare</x:v>
      </x:c>
      <x:c r="D3" s="16" t="str">
        <x:v>Demonstração silenciosa/texto visual</x:v>
      </x:c>
      <x:c r="E3" s="16" t="str"/>
      <x:c r="F3" s="16" t="str"/>
      <x:c r="G3" s="16" t="str"/>
      <x:c r="H3" s="16" t="str"/>
      <x:c r="I3" s="16" t="str">
        <x:v>Baixo</x:v>
      </x:c>
    </x:row>
    <x:row r="4">
      <x:c r="A4" s="16" t="n">
        <x:v>3</x:v>
      </x:c>
      <x:c r="B4" s="16" t="str">
        <x:v>​7609015220085869831</x:v>
      </x:c>
      <x:c r="C4" s="16" t="str">
        <x:v>Calça legging flare</x:v>
      </x:c>
      <x:c r="D4" s="16" t="str">
        <x:v>Apresentação de benefícios</x:v>
      </x:c>
      <x:c r="E4" s="16" t="str"/>
      <x:c r="F4" s="16" t="str"/>
      <x:c r="G4" s="16" t="str"/>
      <x:c r="H4" s="16" t="str"/>
      <x:c r="I4" s="16" t="str">
        <x:v>Baixo</x:v>
      </x:c>
    </x:row>
    <x:row r="5">
      <x:c r="A5" s="16" t="n">
        <x:v>4</x:v>
      </x:c>
      <x:c r="B5" s="16" t="str">
        <x:v>​7614624337714236693</x:v>
      </x:c>
      <x:c r="C5" s="16" t="str">
        <x:v>Calça legging flare</x:v>
      </x:c>
      <x:c r="D5" s="16" t="str">
        <x:v>Depoimento pessoal</x:v>
      </x:c>
      <x:c r="E5" s="16" t="str">
        <x:v>A gente viu que surpreendeu todas as minhas expectativas, porque eu paia 30 reais nela. E eu nunca imaginei que ia chegar a uma qualidade dessa. Gente, ela é bem grossa. Ela tem bastante compressão aqui na baliga e o melhor de tudo é que ela não divide aqui na frente. Não a jato vongou também, eu nem salto tanto que ela valoriza. E vai super bem, entando com o look para treinar quanto o look para sair. Coloco um ternizinho bramo, gente, isso aqui fica lindo. Eu vi várias meninas com calça-flare na carendia e eu fiquei louquecida. Porque eu vi que tá todo mundo postando calça-flare, eu fiquei assim, um bloco era ele. Peguei no tamanho ok. E eu tenho 54 kios e o 64 de altura. E olha, eu perfei os anos aqui.</x:v>
      </x:c>
      <x:c r="F5" s="16" t="str">
        <x:v>E olha, eu perfei os anos aqui.</x:v>
      </x:c>
      <x:c r="G5" s="16" t="str"/>
      <x:c r="H5" s="16" t="str">
        <x:v>A gente viu que surpreendeu todas as minhas expectativas, porque eu paia 30 reais nela. Não a jato vongou também, eu nem salto tanto que ela valoriza. E tenho outras opções de cores também, eu vou deixar nem esse carinhão de eu comprei por 30 reais.</x:v>
      </x:c>
      <x:c r="I5" s="16" t="str">
        <x:v>Moderado</x:v>
      </x:c>
    </x:row>
    <x:row r="6">
      <x:c r="A6" s="16" t="n">
        <x:v>5</x:v>
      </x:c>
      <x:c r="B6" s="16" t="str">
        <x:v>​7619890258913627412</x:v>
      </x:c>
      <x:c r="C6" s="16" t="str">
        <x:v>Calça legging flare</x:v>
      </x:c>
      <x:c r="D6" s="16" t="str">
        <x:v>Apresentação de benefícios</x:v>
      </x:c>
      <x:c r="E6" s="16" t="str">
        <x:v>Olha isso, ela é peluciada por dentro e gente foi menos de 40 reais. Assim, sinceramente, incrédula com essas coisas, tá? Porque ela modela muito corpo e ela é bem grossinha. Ela tem malta compressão aqui na região da Pocheche e assim, amigas, que calça mais maravilhosa. Se eu realmente pensei que ela fosse ruim até chegar na minha casa, tá? Porque, gente, o que vocês esperam de uma lei, menos de 40 reais? Vocês esperam a calça ruim? Inclusive, eu até recomendo você pegar em um tamanho maior do que vocês normalmente usam, porque como ela é bem grossinha, ela fica mais justinha.</x:v>
      </x:c>
      <x:c r="F6" s="16" t="str">
        <x:v>Olha isso, ela é peluciada por dentro e gente foi menos de 40 reais.</x:v>
      </x:c>
      <x:c r="G6" s="16" t="str">
        <x:v>Se eu realmente pensei que ela fosse ruim até chegar na minha casa, tá?</x:v>
      </x:c>
      <x:c r="H6" s="16" t="str">
        <x:v>Olha isso, ela é peluciada por dentro e gente foi menos de 40 reais. Porque, gente, o que vocês esperam de uma lei, menos de 40 reais?</x:v>
      </x:c>
      <x:c r="I6" s="16" t="str">
        <x:v>Moderado</x:v>
      </x:c>
    </x:row>
    <x:row r="7">
      <x:c r="A7" s="16" t="n">
        <x:v>6</x:v>
      </x:c>
      <x:c r="B7" s="16" t="str">
        <x:v>​7624126799483637000</x:v>
      </x:c>
      <x:c r="C7" s="16" t="str">
        <x:v>Calça legging flare</x:v>
      </x:c>
      <x:c r="D7" s="16" t="str">
        <x:v>Apresentação de benefícios</x:v>
      </x:c>
      <x:c r="E7" s="16" t="str">
        <x:v>flaneladinho que agora no Inverno, isso aqui vai ser maravilhoso pra ir trabalhar, tá? E o tanto que essa calça vestem bem mulher, olha isso, olha que surreal, por isso que eu já peguei nessas outras duas cores porque eu uso tanto que daqui a pouco ela vai sair andando sozinha é o amo porque ela tem uma barra ao flair longa e bem larga, não é aquelas flares muito curta, muito justa, sabe? E o cos, esse cos que sobe bastante esconde essa região, se dar uma desenhada no nosso corpo que eu fico passada, sério, é aquela calça curinga que serve para todas as ocasiões e zero transferência, tá? Então pode ficar tranquila na hora de fazer o seu gotada aqui no TikTok, algumas cores e alguns tamanhos se tiver o seu, galerva, tá? Para você não ficar</x:v>
      </x:c>
      <x:c r="F7" s="16" t="str">
        <x:v>E o tanto que essa calça vestem bem mulher, olha isso, olha que surreal, por isso que eu já peguei nessas outras duas cores porque eu uso tanto que daqui a pouco ela vai sair andando sozinha gotada aqui no TikTok, algumas cores e alguns tamanhos se tiver o seu, galerva, tá? Para você não ficar</x:v>
      </x:c>
      <x:c r="G7" s="16" t="str"/>
      <x:c r="H7" s="16" t="str"/>
      <x:c r="I7" s="16" t="str">
        <x:v>Baixo</x:v>
      </x:c>
    </x:row>
    <x:row r="8">
      <x:c r="A8" s="16" t="n">
        <x:v>7</x:v>
      </x:c>
      <x:c r="B8" s="16" t="str">
        <x:v>​7635842588691483912</x:v>
      </x:c>
      <x:c r="C8" s="16" t="str">
        <x:v>Calça legging flare</x:v>
      </x:c>
      <x:c r="D8" s="16" t="str">
        <x:v>Depoimento pessoal</x:v>
      </x:c>
      <x:c r="E8" s="16" t="str">
        <x:v>chucorpo perfeito, essa daqui ainda ela é peluciada e a interinha calça inteira por dentro, então no iverno vai ser perfeito, olha como calma dela, muito bem aqui o corpo, estava se tiver mais barato, gente, apra veita, porque ela é simplesmente impecável, eu não fica dividindo aqui na frente, atrás muda ela muito bem aqui, ó, bumbum, olha como deixa o bumbum perfeito, e não é transparente por conta da pelucia aqui no bumbum, mas a gente impecável olha a qualidade absurda.</x:v>
      </x:c>
      <x:c r="F8" s="16" t="str">
        <x:v>então no iverno vai ser perfeito, olha como calma dela, muito bem aqui o corpo, estava fica dividindo aqui na frente, atrás muda ela muito bem aqui, ó, bumbum, olha como a gente impecável olha a qualidade absurda.</x:v>
      </x:c>
      <x:c r="G8" s="16" t="str">
        <x:v>se tiver mais barato, gente, apra veita, porque ela é simplesmente impecável, eu não deixa o bumbum perfeito, e não é transparente por conta da pelucia aqui no bumbum, mas</x:v>
      </x:c>
      <x:c r="H8" s="16" t="str">
        <x:v>mais de 50 reais, vou por o carrinho aqui pra vocês ver de conta, saindo pra vocês, porque se tiver mais barato, gente, apra veita, porque ela é simplesmente impecável, eu não</x:v>
      </x:c>
      <x:c r="I8" s="16" t="str">
        <x:v>Moderado</x:v>
      </x:c>
    </x:row>
    <x:row r="9">
      <x:c r="A9" s="16" t="n">
        <x:v>8</x:v>
      </x:c>
      <x:c r="B9" s="16" t="str">
        <x:v>​7636849394784013575</x:v>
      </x:c>
      <x:c r="C9" s="16" t="str">
        <x:v>Calça legging flare</x:v>
      </x:c>
      <x:c r="D9" s="16" t="str">
        <x:v>Apresentação de benefícios</x:v>
      </x:c>
      <x:c r="E9" s="16" t="str">
        <x:v>porque claro que faz como o melhor de tudo, é que ela é toda peluciada aqui por dentro, para usar no inverno, gente, vai ser perfeita. Agora que eu fui entender, porque as lindas só usam calça com esse modelo new aqui, porque eu deixo o corpo muito perfeita. Ela não fica dividindo aqui na frente, nem quando puxa, atrás deixou bom bom, muito perfeita. e toda ação perfeita, gente. Eu paguei muito barato, e mesmo que subiu o preço, vale muito a pena.</x:v>
      </x:c>
      <x:c r="F9" s="16" t="str">
        <x:v>Ela não fica dividindo aqui na frente, nem quando puxa,</x:v>
      </x:c>
      <x:c r="G9" s="16" t="str">
        <x:v>Eu paguei muito barato, e mesmo que subiu o preço, vale muito a pena.</x:v>
      </x:c>
      <x:c r="H9" s="16" t="str">
        <x:v>Quem conseguiu pegar essa calça por menos de 40 apila ficou no logo, Eu paguei muito barato, e mesmo que subiu o preço, vale muito a pena.</x:v>
      </x:c>
      <x:c r="I9" s="16" t="str">
        <x:v>Baixo</x:v>
      </x:c>
    </x:row>
    <x:row r="10">
      <x:c r="A10" s="16" t="n">
        <x:v>9</x:v>
      </x:c>
      <x:c r="B10" s="16" t="str">
        <x:v>​7638721302446083336</x:v>
      </x:c>
      <x:c r="C10" s="16" t="str">
        <x:v>Calça legging flare</x:v>
      </x:c>
      <x:c r="D10" s="16" t="str">
        <x:v>Apresentação de benefícios</x:v>
      </x:c>
      <x:c r="E10" s="16" t="str">
        <x:v>Além de tudo, ela é peluciada aqui por dentro, para usar no inverno, a gente vai ser perfeita. Com certeza, eu vou evitar a minha calça para a academia de sair e vou cadê para o cara com ela, porque ela é com cada chucor por perfeito. Não fica dividindo aqui nem quando puxa, o modelagem maravilhosa, o modelo é muito bem aqui, o bumbum.</x:v>
      </x:c>
      <x:c r="F10" s="16" t="str">
        <x:v>Não fica dividindo aqui nem quando puxa, o modelagem maravilhosa, o modelo é muito bem aqui, o bumbum.</x:v>
      </x:c>
      <x:c r="G10" s="16" t="str"/>
      <x:c r="H10" s="16" t="str">
        <x:v>Quem conseguiu pegar essa calça por menos de 40 pilas ficou no lucro, porque olha o que ela faz com bumbum. Pô, por o carinho aqui, dá uma olhadinha essa na promoção ainda, porque não tava mais, mas se tiver, a gente compensa muito.</x:v>
      </x:c>
      <x:c r="I10" s="16" t="str">
        <x:v>Moderado</x:v>
      </x:c>
    </x:row>
    <x:row r="11">
      <x:c r="A11" s="16" t="n">
        <x:v>10</x:v>
      </x:c>
      <x:c r="B11" s="16" t="str">
        <x:v>​7639488015479377173</x:v>
      </x:c>
      <x:c r="C11" s="16" t="str">
        <x:v>Calça legging flare</x:v>
      </x:c>
      <x:c r="D11" s="16" t="str">
        <x:v>Apresentação de benefícios</x:v>
      </x:c>
      <x:c r="E11" s="16" t="str">
        <x:v>Ela é super descreta, muito versátil. Eu comprei ela em testão de malhar, mas eu combino ela praticamente com todos os looks. E olha isso, zero transparência. Ela ainda continua na promoção, seu nome enganada está saindo por menos de 35 reais,</x:v>
      </x:c>
      <x:c r="F11" s="16" t="str">
        <x:v>Ela é super descreta, muito versátil. Eu comprei ela em testão de malhar, mas eu combino ela praticamente com todos os looks. E olha isso, zero transparência. Ela ainda continua na promoção, seu nome enganada está saindo por menos de 35 reais,</x:v>
      </x:c>
      <x:c r="G11" s="16" t="str">
        <x:v>Uma Flair é uma Flair, ela é zero transparência, não divide essa região e ainda valoriza. E olha isso, zero transparência. Ela ainda continua na promoção, seu nome enganada está saindo por menos de 35 reais,</x:v>
      </x:c>
      <x:c r="H11" s="16" t="str">
        <x:v>Uma Flair é uma Flair, ela é zero transparência, não divide essa região e ainda valoriza. E olha isso, zero transparência. Ela ainda continua na promoção, seu nome enganada está saindo por menos de 35 reais, uma qualidade impecável e um preço absurdo. Vai estar disponível no carrinho anjo, que foi onde eu comprei simplesmente perfeita.</x:v>
      </x:c>
      <x:c r="I11" s="16" t="str">
        <x:v>Moderado</x:v>
      </x:c>
    </x:row>
    <x:row r="12">
      <x:c r="A12" s="16" t="n">
        <x:v>11</x:v>
      </x:c>
      <x:c r="B12" s="16" t="str">
        <x:v>​7639532780979801362</x:v>
      </x:c>
      <x:c r="C12" s="16" t="str">
        <x:v>Calça legging flare</x:v>
      </x:c>
      <x:c r="D12" s="16" t="str">
        <x:v>Depoimento pessoal</x:v>
      </x:c>
      <x:c r="E12" s="16" t="str">
        <x:v>Ela é perosseada aqui por dentro, no Inverno vai ficar simplesmente muito boa. E gente, olha como que ela veste perfeitamente bem. Eu estou em choque com essa qualidade, porque eu paguei menos de 40 reais. Estava mais de 60, não sei se está na promoção ainda. Ela é sentida altíssima, não fica dividindo aqui nem quando puxa. E veste perfeitamente bem. a amiga A, pra ver, tem porque é bizarro de bonito.</x:v>
      </x:c>
      <x:c r="F12" s="16" t="str">
        <x:v>E gente, olha como que ela veste perfeitamente bem. Ela é sentida altíssima, não fica dividindo aqui nem quando puxa. E veste perfeitamente bem.</x:v>
      </x:c>
      <x:c r="G12" s="16" t="str"/>
      <x:c r="H12" s="16" t="str">
        <x:v>Eu estou em choque com essa qualidade, porque eu paguei menos de 40 reais. Estava mais de 60, não sei se está na promoção ainda. Então jovem, no seu carrinho, o meu valor que está aí, porque se tiver por menos de 40,</x:v>
      </x:c>
      <x:c r="I12" s="16" t="str">
        <x:v>Moderado</x:v>
      </x:c>
    </x:row>
    <x:row r="13">
      <x:c r="A13" s="16" t="n">
        <x:v>12</x:v>
      </x:c>
      <x:c r="B13" s="16" t="str">
        <x:v>​7646044465316187412</x:v>
      </x:c>
      <x:c r="C13" s="16" t="str">
        <x:v>Calça legging flare</x:v>
      </x:c>
      <x:c r="D13" s="16" t="str">
        <x:v>Identidade/prova social</x:v>
      </x:c>
      <x:c r="E13" s="16" t="str">
        <x:v>E eu não sou diferente E aí gente, eu achei a melhor calça desse TikTok Shop inteiro, baraté, rima e que passa Uma vibe dos anos 2000, gente, olha isso aqui Olha isso aqui, a calça, ela não é de cintura baixa, mas dá pra você, eu vou mostrar pra vocês Dá pra vocês todos a gente dobrar ela e aí ela fica de cintura baixo Parece que ela foi feita pra isso, olha aqui Dá pra você dobrar Ela é maravilhosa, baraté, rima, paguei menos de 40 reais, tá gente? E o meu Fred foi gratis, olha isso aqui, olha isso aqui Ela é acolchada por dentro, tá vendo isso aqui, no inverno? Não perde a oportunidade pra você não ficar de fora dessa vibe dos anos 2000 Diva, icônica, babadeira, tá?</x:v>
      </x:c>
      <x:c r="F13" s="16" t="str">
        <x:v>Uma vibe dos anos 2000, gente, olha isso aqui Olha isso aqui, a calça, ela não é de cintura baixa, mas dá pra você, eu vou mostrar pra vocês Parece que ela foi feita pra isso, olha aqui</x:v>
      </x:c>
      <x:c r="G13" s="16" t="str">
        <x:v>E aí gente, eu achei a melhor calça desse TikTok Shop inteiro, baraté, rima e que passa Aí eu achei outro link, então eu vou deixar o link pra vocês</x:v>
      </x:c>
      <x:c r="H13" s="16" t="str">
        <x:v>E aí gente, eu achei a melhor calça desse TikTok Shop inteiro, baraté, rima e que passa Ela é maravilhosa, baraté, rima, paguei menos de 40 reais, tá gente? Perfeita, então a amiga não perde seu tempo porque eu comprei e já tinha esgotado</x:v>
      </x:c>
      <x:c r="I13" s="16" t="str">
        <x:v>Moderado</x:v>
      </x:c>
    </x:row>
    <x:row r="14">
      <x:c r="A14" s="16" t="n">
        <x:v>13</x:v>
      </x:c>
      <x:c r="B14" s="16" t="str">
        <x:v>​7654391575698607367</x:v>
      </x:c>
      <x:c r="C14" s="16" t="str">
        <x:v>Calça legging flare</x:v>
      </x:c>
      <x:c r="D14" s="16" t="str">
        <x:v>Apresentação de benefícios</x:v>
      </x:c>
      <x:c r="E14" s="16" t="str"/>
      <x:c r="F14" s="16" t="str"/>
      <x:c r="G14" s="16" t="str"/>
      <x:c r="H14" s="16" t="str"/>
      <x:c r="I14" s="16" t="str">
        <x:v>Baixo</x:v>
      </x:c>
    </x:row>
    <x:row r="15">
      <x:c r="A15" s="16" t="n">
        <x:v>14</x:v>
      </x:c>
      <x:c r="B15" s="16" t="str">
        <x:v>​7656974534389583124</x:v>
      </x:c>
      <x:c r="C15" s="16" t="str">
        <x:v>Calça legging flare</x:v>
      </x:c>
      <x:c r="D15" s="16" t="str">
        <x:v>Depoimento pessoal</x:v>
      </x:c>
      <x:c r="E15" s="16" t="str">
        <x:v>Agora eu entendi porque quem gringas gostam tanto de usar calça flat. E eu amei que ela tem um teseb bem grossinho, então ela fica zero transparente. Ela dá uma confirmida aqui na barriga e ela modela de mais o corpo. Sério, eu estou simplesmente em choque. E mais em choque ainda pelo preço que eu paguei. Isso aqui, meu amor, não é com a bola que você encontra.</x:v>
      </x:c>
      <x:c r="F15" s="16" t="str"/>
      <x:c r="G15" s="16" t="str">
        <x:v>E eu amei que ela tem um teseb bem grossinho, então ela fica zero transparente.</x:v>
      </x:c>
      <x:c r="H15" s="16" t="str">
        <x:v>E mais em choque ainda pelo preço que eu paguei. Então clica aqui no carrinho laranja para você ver o preço que está saindo essa calça. Se tiver o seu tamanho e com desconto, amigo, compra por quê?</x:v>
      </x:c>
      <x:c r="I15" s="16" t="str">
        <x:v>Moderado</x:v>
      </x:c>
    </x:row>
    <x:row r="16">
      <x:c r="A16" s="16" t="n">
        <x:v>15</x:v>
      </x:c>
      <x:c r="B16" s="16" t="str">
        <x:v>​7659582874403753236</x:v>
      </x:c>
      <x:c r="C16" s="16" t="str">
        <x:v>Calça legging flare</x:v>
      </x:c>
      <x:c r="D16" s="16" t="str">
        <x:v>Depoimento pessoal</x:v>
      </x:c>
      <x:c r="E16" s="16" t="str">
        <x:v>E o bom dela é que ela é toda perluciada, então agora o nievernil é perfeita porque ela é esquenta Essa enturamente já tem compreção aqui na barriga, e assim não fica a personal no importa o movimento que você faça Não é transparente por conta da grossura dela, tem que ter muitas outras opções de cor, está? Eu já tenho ela na versão preto também, mas assim, gente, sério, é uma cor mais linda que a outra Vocês vão pensar, nossa, deve ser uma porca aqui na primeira lavagem, vai estragar, mas não, meus amores Essa aqui é a minha melhor leguem, é minha melhor leguem O super-apissão é uma estudo porque ela é muito confortável, por acaso a gente é interesse, vou deixá-la aqui no cair laranja Ela chega super rápida, super confiável, e realmente ela fica linda</x:v>
      </x:c>
      <x:c r="F16" s="16" t="str">
        <x:v>Essa enturamente já tem compreção aqui na barriga, e assim não fica a personal no importa o movimento que você faça</x:v>
      </x:c>
      <x:c r="G16" s="16" t="str">
        <x:v>Eu não comprei o leguem porque é caro, a amiga compre essa aqui por menos de 40 reais Não é transparente por conta da grossura dela, tem que ter muitas outras opções de cor, está?</x:v>
      </x:c>
      <x:c r="H16" s="16" t="str">
        <x:v>Eu não comprei o leguem porque é caro, a amiga compre essa aqui por menos de 40 reais</x:v>
      </x:c>
      <x:c r="I16" s="16" t="str">
        <x:v>Moderado</x:v>
      </x:c>
    </x:row>
    <x:row r="17">
      <x:c r="A17" s="16" t="n">
        <x:v>16</x:v>
      </x:c>
      <x:c r="B17" s="16" t="str">
        <x:v>​7668414579935808789</x:v>
      </x:c>
      <x:c r="C17" s="16" t="str">
        <x:v>Calça legging flare</x:v>
      </x:c>
      <x:c r="D17" s="16" t="str">
        <x:v>Depoimento pessoal</x:v>
      </x:c>
      <x:c r="E17" s="16" t="str">
        <x:v>E dessa vez eu comprei a vinho, porque eu tô apaixonada nesses tons assim. E aí eu peguei a vinho. Chegou pra mim muito rápido, foi muito rápido, chegou. E aí, olha isso aqui, gente. Olha a beleza disso aqui. Esse tecido é um tecido bem estruturado, sabe? Gente, olha a cintura, tem aquela compressão perfeita, tá? Essa aqui é perfeita. Bora ver como fica no corpo. A pessoa que fala que uma calça dessa é feia, eu vou ter que tá discordando. Gente, modela. Ai, eu sou apaixonada nesse estilo de calça aqui. Eu peguei um tamanho M, ela ficou assim, maravilhosa. Eu tô apaixonada nela.</x:v>
      </x:c>
      <x:c r="F17" s="16" t="str">
        <x:v>E dessa vez eu comprei a vinho, porque eu tô apaixonada nesses tons assim. E aí eu peguei a vinho. Chegou pra mim muito rápido, foi muito rápido, chegou. E aí, olha isso aqui, gente. Olha a beleza disso aqui. Esse tecido é um tecido bem estruturado, sabe? Gente, olha a cintura, tem aquela compressão perfeita, tá? Essa aqui é perfeita. Bora ver como fica no corpo.</x:v>
      </x:c>
      <x:c r="G17" s="16" t="str"/>
      <x:c r="H17" s="16" t="str">
        <x:v>Gente, eu amei. Olha isso aqui, como ela fica no corpo, como ela valoriza. Ela tem uma compressão também muito boa nessa região aqui, ó, da cintura. Eu vou deixar aqui no carrinho laranja essa aqui que eu comprei, no valor promocional, tá?</x:v>
      </x:c>
      <x:c r="I17" s="16" t="str">
        <x:v>Moderado</x:v>
      </x:c>
    </x:row>
    <x:row r="18">
      <x:c r="A18" s="16" t="n">
        <x:v>17</x:v>
      </x:c>
      <x:c r="B18" s="16" t="str">
        <x:v>​7672106803261525269</x:v>
      </x:c>
      <x:c r="C18" s="16" t="str">
        <x:v>Calça legging flare</x:v>
      </x:c>
      <x:c r="D18" s="16" t="str">
        <x:v>Depoimento pessoal</x:v>
      </x:c>
      <x:c r="E18" s="16" t="str">
        <x:v>Lembra da calça bailarina? Pois é, amigas, ela voltou e eu amo porque não tem uma calça que te dê maior conforto do que essa aqui. Eu achei legal porque ela veio repaginada aqui, ó, com uma cintura mais alta e dá muita segurança na hora de usar. Ela disfarça culote, disfarça barriguinha, fica super bem-vestida. Dependendo da blusa que você colocar, amiga, dá pra você usar um salto e transformar essa peça numa peça mais socialzinha. Clica aí e dá uma conferida.</x:v>
      </x:c>
      <x:c r="F18" s="16" t="str"/>
      <x:c r="G18" s="16" t="str">
        <x:v>Eu achei legal porque ela veio repaginada aqui, ó, com uma cintura mais alta e dá muita segurança na hora de usar.</x:v>
      </x:c>
      <x:c r="H18" s="16" t="str">
        <x:v>Garanti agora, essa semana, essa cor aqui. Vou deixar o link pra você porque, além de linda, de confortável, o preço é incrível.</x:v>
      </x:c>
      <x:c r="I18" s="16" t="str">
        <x:v>Baixo</x:v>
      </x:c>
    </x:row>
    <x:row r="19">
      <x:c r="A19" s="16" t="n">
        <x:v>18</x:v>
      </x:c>
      <x:c r="B19" s="16" t="str">
        <x:v>​7627542684953038087</x:v>
      </x:c>
      <x:c r="C19" s="16" t="str">
        <x:v>Calça pantalona</x:v>
      </x:c>
      <x:c r="D19" s="16" t="str">
        <x:v>Depoimento pessoal</x:v>
      </x:c>
      <x:c r="E19" s="16" t="str">
        <x:v>Eu vi muitos anúncios. Inclusive alguns anúncios mais baratos que o outro. Eu fiquei pensando, será que a qualidade também é proporcional? Aí, gente, eu comprei do anúncio mais barato, porque justamente eu queria testar. Ó, nessa marca aqui e, gente, o tecido é no tecido marrante, tá? O tecido marrante, independente do produto que você for comprar, eu tenho esse conjunto, eu tenho um conjunto amarelo que fez muito sucesso e tenho outras roupas também no tecido. Gente, sempre pegue o número maior. E aí, gente, eu escolhi no tom de marrom, peguei o tamanho G e assim o tecido é maravilhoso mesmo, tá? Ele tem um bolso, o bolso não é muito curto, o bolso ele é profundo, tá vendo? E, obviamente, eu vou ter que mandar fazer barrinha porque eu tenho 1,5m, né, gente? E aqui a calça é lá do meio do meu tamanho, né? Aqui, a calça é lá do meu tamanho, praticamente.</x:v>
      </x:c>
      <x:c r="F19" s="16" t="str">
        <x:v>Aí, gente, eu comprei do anúncio mais barato, porque justamente eu queria testar.</x:v>
      </x:c>
      <x:c r="G19" s="16" t="str">
        <x:v>Eu vi muitos anúncios. Inclusive alguns anúncios mais baratos que o outro. Eu fiquei pensando, será que a qualidade também é proporcional?</x:v>
      </x:c>
      <x:c r="H19" s="16" t="str">
        <x:v>Eu vi muitos anúncios. Inclusive alguns anúncios mais baratos que o outro. Aí, gente, eu comprei do anúncio mais barato, porque justamente eu queria testar.</x:v>
      </x:c>
      <x:c r="I19" s="16" t="str">
        <x:v>Baixo</x:v>
      </x:c>
    </x:row>
    <x:row r="20">
      <x:c r="A20" s="16" t="n">
        <x:v>19</x:v>
      </x:c>
      <x:c r="B20" s="16" t="str">
        <x:v>​7628985822221552916</x:v>
      </x:c>
      <x:c r="C20" s="16" t="str">
        <x:v>Calça pantalona</x:v>
      </x:c>
      <x:c r="D20" s="16" t="str">
        <x:v>Depoimento pessoal</x:v>
      </x:c>
      <x:c r="E20" s="16" t="str">
        <x:v>Olha que calça perfeita. E já lembrando, ela veste mulheres altas. Ela tem um comprimento bem alto mesmo, tá? Um metro e doze de comprimento na perna e veste mulheres altas aí também. Olha que linda. Eu peguei na co-off, mas tem outras cores também disponível. Vem provar comigo. Normalmente eu pego o tamanho M dessas calças. Eu visto 38, pego o tamanho M. Essa parece ter uma forma maior um pouco. Vamos ver na hora que eu só abutoar. Gente, eu já estou gostando de cara. Olha isso. Olha que calça maravilhosa. Que linda. Não, meninas. Para tudo com essa calça. Essa aqui é um evento. Não vai precisar eu fazer ajuste, porque ela tem amarração na cintura, tá? Então não vai precisar eu fazer ajuste na cintura, porque ela tem amarração. Eu uso 38, peguei a M. Olha que linda. Que calça perfeita. Mas isso é o de menos. As baixinhas sempre sofrem nessa parte. Mas olha que calça chiquérima. Um luxo. Olha que perfeita meninas. Que maravilhosa essa calça. E vestir o super bem. O único ajuste que eu, Paloma, baixinha vai fazer é só dar do cumprimento. E se você ainda não me segue, clica aqui do lado para não me perder a mulher, porque eu sempre estou trazendo novidades aqui do TikTok Shop. Olha que linda. Amei.</x:v>
      </x:c>
      <x:c r="F20" s="16" t="str">
        <x:v>Olha que calça perfeita. E já lembrando, ela veste mulheres altas. Ela tem um comprimento bem alto mesmo, tá? Um metro e doze de comprimento na perna e veste mulheres altas aí também. Olha que linda. Eu peguei na co-off, mas tem outras cores também disponível. Vem provar comigo.</x:v>
      </x:c>
      <x:c r="G20" s="16" t="str"/>
      <x:c r="H20" s="16" t="str"/>
      <x:c r="I20" s="16" t="str">
        <x:v>Baixo</x:v>
      </x:c>
    </x:row>
    <x:row r="21">
      <x:c r="A21" s="16" t="n">
        <x:v>20</x:v>
      </x:c>
      <x:c r="B21" s="16" t="str">
        <x:v>​7634731433747156232</x:v>
      </x:c>
      <x:c r="C21" s="16" t="str">
        <x:v>Calça pantalona</x:v>
      </x:c>
      <x:c r="D21" s="16" t="str">
        <x:v>Apresentação de benefícios</x:v>
      </x:c>
      <x:c r="E21" s="16" t="str">
        <x:v>ele é bem comprido para as meninas mais altas, estou usando ela que esse salto bem alto, ainda sobrou o tecido para baixo, e o precinho dessa calça, vocês não vão acreditar, dá presente para o dia das mães para se presentear uma peça realmente incrível, meninas não perde a oportunidade.</x:v>
      </x:c>
      <x:c r="F21" s="16" t="str"/>
      <x:c r="G21" s="16" t="str"/>
      <x:c r="H21" s="16" t="str"/>
      <x:c r="I21" s="16" t="str">
        <x:v>Baixo</x:v>
      </x:c>
    </x:row>
    <x:row r="22">
      <x:c r="A22" s="16" t="n">
        <x:v>21</x:v>
      </x:c>
      <x:c r="B22" s="16" t="str">
        <x:v>​7645009188519054610</x:v>
      </x:c>
      <x:c r="C22" s="16" t="str">
        <x:v>Calça pantalona</x:v>
      </x:c>
      <x:c r="D22" s="16" t="str">
        <x:v>Depoimento pessoal</x:v>
      </x:c>
      <x:c r="E22" s="16" t="str">
        <x:v>que coisa mais linda! Eu comprei essa aqui no Marrom Café, mas tem outras cores disponíveis, tem essa fita aqui pra marrar, ela é bem cumprida, tá? Então atende bem as pessoas altas, né? Eu sou bem alta, então quem for baixinho é só fazer a barra que dá super certo, maravilhosa o tecido grossinho, ó, valeu, super a pena! Com certeza eu quero todas as outras cores!</x:v>
      </x:c>
      <x:c r="F22" s="16" t="str">
        <x:v>que coisa mais linda! Eu comprei essa aqui no Marrom Café, mas tem outras cores disponíveis,</x:v>
      </x:c>
      <x:c r="G22" s="16" t="str"/>
      <x:c r="H22" s="16" t="str"/>
      <x:c r="I22" s="16" t="str">
        <x:v>Baixo</x:v>
      </x:c>
    </x:row>
    <x:row r="23">
      <x:c r="A23" s="16" t="n">
        <x:v>22</x:v>
      </x:c>
      <x:c r="B23" s="16" t="str">
        <x:v>​7652139665813687573</x:v>
      </x:c>
      <x:c r="C23" s="16" t="str">
        <x:v>Calça pantalona</x:v>
      </x:c>
      <x:c r="D23" s="16" t="str">
        <x:v>Apresentação de benefícios</x:v>
      </x:c>
      <x:c r="E23" s="16" t="str">
        <x:v>cor preferida dessas calças no tecido marrante, calça pantalona amiga no tecido marrante que é super confortável aquele tecido bem encorpado é zero transparência olha só como que fica bem bonita no corpo aquela calça que você vai pra todos os lugares aí muito bem vestida e pagando vocês porque ela voltou pro estoque em oito cores tá todas as cores disponíveis e em todos os tamanhos do trinta e seis até o tamanho 50 amiga oito cores lindas cores vivas bem bonitas mesmo pra você estar razando aí em sua</x:v>
      </x:c>
      <x:c r="F23" s="16" t="str">
        <x:v>encorpado é zero transparência olha só como que fica bem bonita no corpo aquela</x:v>
      </x:c>
      <x:c r="G23" s="16" t="str">
        <x:v>encorpado é zero transparência olha só como que fica bem bonita no corpo aquela</x:v>
      </x:c>
      <x:c r="H23" s="16" t="str">
        <x:v>vocês porque ela voltou pro estoque em oito cores tá todas as cores</x:v>
      </x:c>
      <x:c r="I23" s="16" t="str">
        <x:v>Moderado</x:v>
      </x:c>
    </x:row>
    <x:row r="24">
      <x:c r="A24" s="16" t="n">
        <x:v>23</x:v>
      </x:c>
      <x:c r="B24" s="16" t="str">
        <x:v>​7657650510194871572</x:v>
      </x:c>
      <x:c r="C24" s="16" t="str">
        <x:v>Calça pantalona</x:v>
      </x:c>
      <x:c r="D24" s="16" t="str">
        <x:v>Checklist técnico</x:v>
      </x:c>
      <x:c r="E24" s="16" t="str">
        <x:v>Essa calça tá aqui num carrinho laranja, tá? Primeiro ponto, o tecido. Por exemplo, esse tecido aqui é o marran, que é aquele que parece com linho, sabe? Mais grossinho, com mais qualidade. Outro ponto importante, a composição da calça. Por exemplo, ó, 90% viscose e 10% polieste. Outro ponto muito importante é o acabamento. Já usar essa calça, o acabamento dela continua impecável, tá vendo? Outro ponto importante é se o bolso e o fechicle tem a mesma cor ou muito parecido com o tecido. Tem umas calças que não tem. Pra mim tem que ser muito parecido. Ponto importante também. Calma aí. Toda calça de alfaiataria no meu corpo precisa ser cintura alta. Então ela precisa ser cintura alta e essa é. Ah, essa cordinha que ela sai, tá? Você pode usar como assim, cordinha? Porque ela tem passante. Nela toda você pode usar com cinto se você preferir. Qual que é a dúvida? É só você me perguntar, tá? Essa aqui é ó, eu também tenho a preta. Tem outras cores aqui. Beijo, tchau.</x:v>
      </x:c>
      <x:c r="F24" s="16" t="str"/>
      <x:c r="G24" s="16" t="str">
        <x:v>Qual que é a dúvida?</x:v>
      </x:c>
      <x:c r="H24" s="16" t="str"/>
      <x:c r="I24" s="16" t="str">
        <x:v>Baixo</x:v>
      </x:c>
    </x:row>
    <x:row r="25">
      <x:c r="A25" s="16" t="n">
        <x:v>24</x:v>
      </x:c>
      <x:c r="B25" s="16" t="str">
        <x:v>​7658078417153248532</x:v>
      </x:c>
      <x:c r="C25" s="16" t="str">
        <x:v>Calça pantalona</x:v>
      </x:c>
      <x:c r="D25" s="16" t="str">
        <x:v>Checklist técnico</x:v>
      </x:c>
      <x:c r="E25" s="16" t="str">
        <x:v>Esta calça aqui não fica para trás, tá? Vamos começar pelo preço dela, que é maravilhoso, que está aqui no carrinho laranja. Ela é do tecido marrã. O tecido marrã é aquele tecido que parece linho, sabe? Mas não é linho, com excelente qualidade? Pois é. Essa cordinha que sai, se você não quiser usar a cordinha, tá? Pode usar com passante, sem problema nenhum, mas eu prefiro com a cordinha, dá todo um charme. Ela é a cintura alta, que pra mim, pra mim, calça de alfa e ataria no meu corpo fica melhor se for cintura alta e em mim fica muito mais elegante. Pantalona, se você tem mais de 1,70m, com certeza vai caber em você, ó. Ela é grande, em mim lá embaixo. Ela fica acinturadinha, bonitinha que você pode botar mais acinturada com essa cordinha. Bolso do mesmo tecido da calça. Enfim, ela tem muitos benefícios, estou apaixonada. Está aqui no Carno Laranja e tem várias cores e tamanho. Se não me engano, vai ter um tamanho 50. Qualquer dúvida, deixe nos comentários que eu te ajudo, tá bem? Beijo! Tchau!</x:v>
      </x:c>
      <x:c r="F25" s="16" t="str">
        <x:v>Esta calça aqui não fica para trás, tá?</x:v>
      </x:c>
      <x:c r="G25" s="16" t="str">
        <x:v>Pode usar com passante, sem problema nenhum, mas eu prefiro com a cordinha, dá todo um charme. Qualquer dúvida, deixe nos comentários que eu te ajudo, tá bem?</x:v>
      </x:c>
      <x:c r="H25" s="16" t="str">
        <x:v>Vamos começar pelo preço dela, que é maravilhoso, que está aqui no carrinho laranja.</x:v>
      </x:c>
      <x:c r="I25" s="16" t="str">
        <x:v>Baixo</x:v>
      </x:c>
    </x:row>
    <x:row r="26">
      <x:c r="A26" s="16" t="n">
        <x:v>25</x:v>
      </x:c>
      <x:c r="B26" s="16" t="str">
        <x:v>​7658266454617361671</x:v>
      </x:c>
      <x:c r="C26" s="16" t="str">
        <x:v>Calça pantalona</x:v>
      </x:c>
      <x:c r="D26" s="16" t="str">
        <x:v>Apresentação de benefícios</x:v>
      </x:c>
      <x:c r="E26" s="16" t="str">
        <x:v>pra não querer comprar todas as cores. Eu não dava dessa calça, né? Porque, inclusive, ela tá super viralizada, gente, mas ela fica muito linda no corpo, muito linda mesmo. Ela é uma calça chic, elegante, chic, vesti super bem. É uma calça modelo pantalona, em que da loja tem até o tamanho plus size, se não me engana no G3. É menos que R$80, isso aqui, gente, é praticamente dado.</x:v>
      </x:c>
      <x:c r="F26" s="16" t="str"/>
      <x:c r="G26" s="16" t="str"/>
      <x:c r="H26" s="16" t="str">
        <x:v>É menos que R$80, isso aqui, gente, é praticamente dado.</x:v>
      </x:c>
      <x:c r="I26" s="16" t="str">
        <x:v>Moderado</x:v>
      </x:c>
    </x:row>
    <x:row r="27">
      <x:c r="A27" s="16" t="n">
        <x:v>26</x:v>
      </x:c>
      <x:c r="B27" s="16" t="str">
        <x:v>​7661821903820049685</x:v>
      </x:c>
      <x:c r="C27" s="16" t="str">
        <x:v>Calça pantalona</x:v>
      </x:c>
      <x:c r="D27" s="16" t="str">
        <x:v>Checklist técnico</x:v>
      </x:c>
      <x:c r="E27" s="16" t="str">
        <x:v>Por exemplo, essa calça aqui está aqui no carrinho laranja, tá? Primeiro de tudo, cor o e o tecido da calça. Esse tecido aqui é aquele tecido marran, que parece com linho que é de extrema qualidade. Outro ponto importante é a composição da peça. Ela é 90% viscose, tá? O bolso tem que ser do mesmo tecido da calça, tá vendo? Mesmo o tecido, porque eu acho que é muito mais resistente. O acabamento precisa ser bom, ah, já lavei e não encole, tá? O acabamento precisa ser muito bom. Essa cordinha aqui, ela sai, tá? Você pode usar com passante, se preferir. O botão e o fechicleta em si da mesma cor ou muito parecido com a calça, eu acho que orna mais e cintura alta. Calça de alfaetaria, pra mim, tem que ser cintura alta, porque no meu corpo fica mais bonito, tá? Qualquer dúvida, deixa aqui nos comentários que eu te ajudo. Beijo, tchau!</x:v>
      </x:c>
      <x:c r="F27" s="16" t="str">
        <x:v>O acabamento precisa ser bom, ah, já lavei e não encole, tá?</x:v>
      </x:c>
      <x:c r="G27" s="16" t="str">
        <x:v>Qualquer dúvida, deixa aqui nos comentários que eu te ajudo.</x:v>
      </x:c>
      <x:c r="H27" s="16" t="str"/>
      <x:c r="I27" s="16" t="str">
        <x:v>Baixo</x:v>
      </x:c>
    </x:row>
    <x:row r="28">
      <x:c r="A28" s="16" t="n">
        <x:v>27</x:v>
      </x:c>
      <x:c r="B28" s="16" t="str">
        <x:v>​7663238670257868039</x:v>
      </x:c>
      <x:c r="C28" s="16" t="str">
        <x:v>Calça pantalona</x:v>
      </x:c>
      <x:c r="D28" s="16" t="str">
        <x:v>Demonstração silenciosa/texto visual</x:v>
      </x:c>
      <x:c r="E28" s="16" t="str"/>
      <x:c r="F28" s="16" t="str"/>
      <x:c r="G28" s="16" t="str"/>
      <x:c r="H28" s="16" t="str"/>
      <x:c r="I28" s="16" t="str">
        <x:v>Baixo</x:v>
      </x:c>
    </x:row>
    <x:row r="29">
      <x:c r="A29" s="16" t="n">
        <x:v>28</x:v>
      </x:c>
      <x:c r="B29" s="16" t="str">
        <x:v>​7663556817318006023</x:v>
      </x:c>
      <x:c r="C29" s="16" t="str">
        <x:v>Calça pantalona</x:v>
      </x:c>
      <x:c r="D29" s="16" t="str">
        <x:v>Dor &gt; solução</x:v>
      </x:c>
      <x:c r="E29" s="16" t="str">
        <x:v>É que você comprou uma peça, um trem, você vai comprar todas as cores. Estou na minha segunda compra dessa calça amarrante aqui. Eu tenho a beige, comprei agora essa amarrão porque a gente tem uma calça aqui e eu não tiro do corpo. Comfortável, chic, custa menos que 80 reais, gente. Tanto que essa calça que veste, o meio não tá escrito. Beleza dessa calça não ter sido super grosso, que não marca, não fica transparente. E ainda tem esse cintinho aqui, ó, amiga, pra você ajustar bem dois bolsos ao seguir a perfeição.</x:v>
      </x:c>
      <x:c r="F29" s="16" t="str">
        <x:v>Eu tenho a beige, comprei agora essa amarrão porque a gente tem uma calça aqui e eu não tiro do corpo. Tanto que essa calça que veste, o meio não tá escrito. Beleza dessa calça não ter sido super grosso, que não marca, não fica transparente.</x:v>
      </x:c>
      <x:c r="G29" s="16" t="str">
        <x:v>Sabe qual é o problema de comprar um tic-toc-shop? Beleza dessa calça não ter sido super grosso, que não marca, não fica transparente.</x:v>
      </x:c>
      <x:c r="H29" s="16" t="str">
        <x:v>Comfortável, chic, custa menos que 80 reais, gente.</x:v>
      </x:c>
      <x:c r="I29" s="16" t="str">
        <x:v>Moderado</x:v>
      </x:c>
    </x:row>
    <x:row r="30">
      <x:c r="A30" s="16" t="n">
        <x:v>29</x:v>
      </x:c>
      <x:c r="B30" s="16" t="str">
        <x:v>​7665004158394666248</x:v>
      </x:c>
      <x:c r="C30" s="16" t="str">
        <x:v>Calça pantalona</x:v>
      </x:c>
      <x:c r="D30" s="16" t="str">
        <x:v>Depoimento pessoal</x:v>
      </x:c>
      <x:c r="E30" s="16" t="str">
        <x:v>Eu tinha a beige, agora eu comprei a marrom, porque, olha isso aqui, pro pra vocês que eu não aguentei, gente, mas essa marrom aqui, ela tá assim, de parabéns. Olha essa calça, estilo pantalona, inclusive, ó, a barra dela é gigante pras mulheres mais altas. Dando o corpo confortável, o tecido é maravilhoso, não fica transparente. Nossa chique elegante, amiga, por menos de 80 reais, é aonde você encontra, né.</x:v>
      </x:c>
      <x:c r="F30" s="16" t="str">
        <x:v>Eu tinha a beige, agora eu comprei a marrom, porque, olha isso aqui, Olha essa calça, estilo pantalona, inclusive, ó, a barra dela é gigante pras mulheres mais altas. Dando o corpo confortável, o tecido é maravilhoso, não fica transparente.</x:v>
      </x:c>
      <x:c r="G30" s="16" t="str">
        <x:v>Dando o corpo confortável, o tecido é maravilhoso, não fica transparente.</x:v>
      </x:c>
      <x:c r="H30" s="16" t="str">
        <x:v>Nossa chique elegante, amiga, por menos de 80 reais, é aonde você encontra, né.</x:v>
      </x:c>
      <x:c r="I30" s="16" t="str">
        <x:v>Moderado</x:v>
      </x:c>
    </x:row>
    <x:row r="31">
      <x:c r="A31" s="16" t="n">
        <x:v>30</x:v>
      </x:c>
      <x:c r="B31" s="16" t="str">
        <x:v>​7665421947328630023</x:v>
      </x:c>
      <x:c r="C31" s="16" t="str">
        <x:v>Calça pantalona</x:v>
      </x:c>
      <x:c r="D31" s="16" t="str">
        <x:v>Identidade/prova social</x:v>
      </x:c>
      <x:c r="E31" s="16" t="str">
        <x:v>Olhem só, amigas, uma calça em alfetaria, elegantíssima, tá? Um tecido com caimento maravilhoso e o melhor de tudo, ela não fica transparente. Olhem ela atrás, como que ela veste super bem. Uma modelagem maravilhosa, e ela ainda vem com uma cordinha pra você poder regular na cintura. Perfeita, né? Eu vou deixá-la aqui nesse carinho laranja pra você clicar. Já escolheu o seu tamanho na sua cor preferida.</x:v>
      </x:c>
      <x:c r="F31" s="16" t="str">
        <x:v>Um tecido com caimento maravilhoso e o melhor de tudo, ela não fica transparente. Olhem ela atrás, como que ela veste super bem.</x:v>
      </x:c>
      <x:c r="G31" s="16" t="str">
        <x:v>Um tecido com caimento maravilhoso e o melhor de tudo, ela não fica transparente.</x:v>
      </x:c>
      <x:c r="H31" s="16" t="str"/>
      <x:c r="I31" s="16" t="str">
        <x:v>Baixo</x:v>
      </x:c>
    </x:row>
    <x:row r="32">
      <x:c r="A32" s="16" t="n">
        <x:v>31</x:v>
      </x:c>
      <x:c r="B32" s="16" t="str">
        <x:v>​7665500601802870037</x:v>
      </x:c>
      <x:c r="C32" s="16" t="str">
        <x:v>Calça pantalona</x:v>
      </x:c>
      <x:c r="D32" s="16" t="str">
        <x:v>Checklist técnico</x:v>
      </x:c>
      <x:c r="E32" s="16" t="str">
        <x:v>Essa calça aqui está aqui no carrinho laranja, está primeiro de tudo. Qual é o tecido da calça? Esse tecido aqui é aquele tecido marran, que parece com linho, sabe, de extrema qualidade. Outro ponto importante é a composição e ele é 90% viscose, tá? Ponto importante também é a com a acabamento. Desculpa, o acabamento dela é perfeito, maravilhoso. Botão e fechiclé ou zipe precisam ser da mesma, mesma cor da calça ou muito parecido, tá? Essa cordinha, ela sai, você pode usar com passante, se você preferir. O bolso tem que ter o mesmo tecido da calça, porque eu acho que é mais resistente e ser cintura alta. Calça de alfaetaria no meu corpo precisa ser cintura alta, porque fica muito mais elegante, tá? Beijo, tchau!</x:v>
      </x:c>
      <x:c r="F32" s="16" t="str"/>
      <x:c r="G32" s="16" t="str">
        <x:v>Aqui no carrinho laranja tem várias cores e tamanho, mas qualquer dúvida, deixe nos comentários que eu te ajudo.</x:v>
      </x:c>
      <x:c r="H32" s="16" t="str"/>
      <x:c r="I32" s="16" t="str">
        <x:v>Baixo</x:v>
      </x:c>
    </x:row>
    <x:row r="33">
      <x:c r="A33" s="16" t="n">
        <x:v>32</x:v>
      </x:c>
      <x:c r="B33" s="16" t="str">
        <x:v>​7666837036673879304</x:v>
      </x:c>
      <x:c r="C33" s="16" t="str">
        <x:v>Calça pantalona</x:v>
      </x:c>
      <x:c r="D33" s="16" t="str">
        <x:v>Depoimento pessoal</x:v>
      </x:c>
      <x:c r="E33" s="16" t="str"/>
      <x:c r="F33" s="16" t="str"/>
      <x:c r="G33" s="16" t="str"/>
      <x:c r="H33" s="16" t="str">
        <x:v>e garanta a calça de vocês, porque meninas, ela está no preço maravilhoso, viu?</x:v>
      </x:c>
      <x:c r="I33" s="16" t="str">
        <x:v>Baixo</x:v>
      </x:c>
    </x:row>
    <x:row r="34">
      <x:c r="A34" s="16" t="n">
        <x:v>33</x:v>
      </x:c>
      <x:c r="B34" s="16" t="str">
        <x:v>​7666948943414136082</x:v>
      </x:c>
      <x:c r="C34" s="16" t="str">
        <x:v>Calça pantalona</x:v>
      </x:c>
      <x:c r="D34" s="16" t="str">
        <x:v>Apresentação de benefícios</x:v>
      </x:c>
      <x:c r="E34" s="16" t="str">
        <x:v>Eu amo ela, vou já deixar o link aí pra você, tá? Ela é perfeita, tem várias cores por níveis e, amigo, eu te falei o preço, que ela custa menos que 70 reais. Não sei como, porque é uma calça realmente maravilhosa, você pode usar ela até cintura mais alta assim, se você preferir, ou abaixar ela assim, ela tem esse estilo plantalona mais larguinho, bem com dois bolsas aqui na frente, esse cintinho pra você amarrar. Tem uma cor mais linda que a outra e vai até o G3. É a calça perfeita, gente, eu amo essa calça aqui de verdade.</x:v>
      </x:c>
      <x:c r="F34" s="16" t="str"/>
      <x:c r="G34" s="16" t="str"/>
      <x:c r="H34" s="16" t="str">
        <x:v>Ela é perfeita, tem várias cores por níveis e, amigo, eu te falei o preço, que ela custa menos que 70 reais.</x:v>
      </x:c>
      <x:c r="I34" s="16" t="str">
        <x:v>Moderado</x:v>
      </x:c>
    </x:row>
    <x:row r="35">
      <x:c r="A35" s="16" t="n">
        <x:v>34</x:v>
      </x:c>
      <x:c r="B35" s="16" t="str">
        <x:v>​7667633710447136008</x:v>
      </x:c>
      <x:c r="C35" s="16" t="str">
        <x:v>Calça pantalona</x:v>
      </x:c>
      <x:c r="D35" s="16" t="str">
        <x:v>Depoimento pessoal</x:v>
      </x:c>
      <x:c r="E35" s="16" t="str">
        <x:v>Vou deixar o link dela embaixo. Essa calça é maravilhosa, gente, porque ela simplesmente custa menos que R$70, ela vai até o plus size, até o G3, fica lindando o corpo elegante, serve para várias ocasiões. Gente, ela vai super bem, tá? Tem esses dois bolsos aqui na frente. Eu tenho a beige e essa marrom, gente, essa calça é perfeita. Ela tem esse estilo plantalona que eu amo, amiga.</x:v>
      </x:c>
      <x:c r="F35" s="16" t="str"/>
      <x:c r="G35" s="16" t="str"/>
      <x:c r="H35" s="16" t="str">
        <x:v>Essa calça é maravilhosa, gente, porque ela simplesmente custa menos que R$70,</x:v>
      </x:c>
      <x:c r="I35" s="16" t="str">
        <x:v>Moderado</x:v>
      </x:c>
    </x:row>
    <x:row r="36">
      <x:c r="A36" s="16" t="n">
        <x:v>35</x:v>
      </x:c>
      <x:c r="B36" s="16" t="str">
        <x:v>​7668272560206794002</x:v>
      </x:c>
      <x:c r="C36" s="16" t="str">
        <x:v>Calça pantalona</x:v>
      </x:c>
      <x:c r="D36" s="16" t="str">
        <x:v>Dor &gt; solução</x:v>
      </x:c>
      <x:c r="E36" s="16" t="str">
        <x:v>Eu comprei essa marrom aqui, mas eu já tinha beijo, porque gente, essa calça é maravilhosa. Ela fica muito linda no corpo, veste super bem, é estilo pantalão, inclusive, ó. Para as mulheres que também são altas, porque eu tenho uns 70, gente. A barra dela é gigante, eu vou até ter que mandar fazer. Maravilhosa, tem um tecido grosso, as cores claras não ficam nos parentes. É uma calça assim que você tem que ter no guarda-roupa, porque é curinga, ela serve para várias ocasiões.</x:v>
      </x:c>
      <x:c r="F36" s="16" t="str">
        <x:v>Eu comprei essa marrom aqui, mas eu já tinha beijo, porque gente, essa calça é maravilhosa. Ela fica muito linda no corpo, veste super bem, é estilo pantalão, inclusive, ó. Maravilhosa, tem um tecido grosso, as cores claras não ficam nos parentes. É uma calça assim que você tem que ter no guarda-roupa, porque é curinga, ela serve para várias ocasiões.</x:v>
      </x:c>
      <x:c r="G36" s="16" t="str">
        <x:v>Eu vou deixar o link dela aqui. E o único problema de comprar essa calça é que eu tenho certeza que você vai querer outras cores também.</x:v>
      </x:c>
      <x:c r="H36" s="16" t="str">
        <x:v>Vou deixar o link aí e ela custa menos 70 reais, tá? Vou deixar o link aí para você garantir a sua.</x:v>
      </x:c>
      <x:c r="I36" s="16" t="str">
        <x:v>Moderado</x:v>
      </x:c>
    </x:row>
    <x:row r="37">
      <x:c r="A37" s="16" t="n">
        <x:v>36</x:v>
      </x:c>
      <x:c r="B37" s="16" t="str">
        <x:v>​7668776822292712724</x:v>
      </x:c>
      <x:c r="C37" s="16" t="str">
        <x:v>Calça pantalona</x:v>
      </x:c>
      <x:c r="D37" s="16" t="str">
        <x:v>Identidade/prova social</x:v>
      </x:c>
      <x:c r="E37" s="16" t="str"/>
      <x:c r="F37" s="16" t="str"/>
      <x:c r="G37" s="16" t="str"/>
      <x:c r="H37" s="16" t="str"/>
      <x:c r="I37" s="16" t="str">
        <x:v>Baixo</x:v>
      </x:c>
    </x:row>
    <x:row r="38">
      <x:c r="A38" s="16" t="n">
        <x:v>37</x:v>
      </x:c>
      <x:c r="B38" s="16" t="str">
        <x:v>​7656174686430154005</x:v>
      </x:c>
      <x:c r="C38" s="16" t="str">
        <x:v>Camisola</x:v>
      </x:c>
      <x:c r="D38" s="16" t="str">
        <x:v>Dor &gt; solução</x:v>
      </x:c>
      <x:c r="E38" s="16" t="str">
        <x:v>Essa é a camisola mais linda do TikTok Shop, ela é de rendinha, tem um lacinho. Tem esse franzido no bumbum, que deixa o volume dele bem maior. Aqui na frente ela também é toda de rendinha, tem esse lacinho e alça é ajustável. O tecido é uma delícia, super confortável, ela ainda vem com uma calcinha da mesma cor. Olha como ela modela o corpo, gente, esse corte aqui, ó, em V. Ele é maravilhosa. Nunca foi tão barato, se sentir bonitona em casa assim.</x:v>
      </x:c>
      <x:c r="F38" s="16" t="str">
        <x:v>Olha como ela modela o corpo, gente, esse corte aqui, ó, em V. Ele é maravilhosa.</x:v>
      </x:c>
      <x:c r="G38" s="16" t="str">
        <x:v>Nunca foi tão barato, se sentir bonitona em casa assim.</x:v>
      </x:c>
      <x:c r="H38" s="16" t="str">
        <x:v>Se você tá brigada com seu marido, eu tenho aqui a solução por menos de 30 reais. Tudo isso por esse valorzinho que eu deixei aqui nesse carrinho laranja. Nunca foi tão barato, se sentir bonitona em casa assim.</x:v>
      </x:c>
      <x:c r="I38" s="16" t="str">
        <x:v>Moderado</x:v>
      </x:c>
    </x:row>
    <x:row r="39">
      <x:c r="A39" s="16" t="n">
        <x:v>38</x:v>
      </x:c>
      <x:c r="B39" s="16" t="str">
        <x:v>​7621919530511650068</x:v>
      </x:c>
      <x:c r="C39" s="16" t="str">
        <x:v>Cinta modeladora</x:v>
      </x:c>
      <x:c r="D39" s="16" t="str">
        <x:v>Apresentação de benefícios</x:v>
      </x:c>
      <x:c r="E39" s="16" t="str">
        <x:v>Áudio informativo ressalva que a cinta não reduz diretamente a cintura e explica pressão abdominal e apoio postural.</x:v>
      </x:c>
      <x:c r="F39" s="16" t="str">
        <x:v>Demonstração do produto, fechamento e vistas laterais.</x:v>
      </x:c>
      <x:c r="G39" s="16" t="str">
        <x:v>Expectativa de redução direta da cintura.</x:v>
      </x:c>
      <x:c r="H39" s="16" t="str">
        <x:v>Preço de R$16 aparece no texto visual.</x:v>
      </x:c>
      <x:c r="I39" s="16" t="str">
        <x:v>Alto</x:v>
      </x:c>
    </x:row>
    <x:row r="40">
      <x:c r="A40" s="16" t="n">
        <x:v>39</x:v>
      </x:c>
      <x:c r="B40" s="16" t="str">
        <x:v>​7647264597598113044</x:v>
      </x:c>
      <x:c r="C40" s="16" t="str">
        <x:v>Cinta modeladora</x:v>
      </x:c>
      <x:c r="D40" s="16" t="str">
        <x:v>Apresentação de benefícios</x:v>
      </x:c>
      <x:c r="E40" s="16" t="str">
        <x:v>Compara imagens, rebate a objeção de preço, relata progressão de tamanhos e orienta a escolha do tamanho.</x:v>
      </x:c>
      <x:c r="F40" s="16" t="str">
        <x:v>Comparação de fotografias e demonstração da folga da roupa.</x:v>
      </x:c>
      <x:c r="G40" s="16" t="str">
        <x:v>Dúvida sobre resultado e preço.</x:v>
      </x:c>
      <x:c r="H40" s="16" t="str">
        <x:v>Compra na faixa de vinte reais declarada pela criadora.</x:v>
      </x:c>
      <x:c r="I40" s="16" t="str">
        <x:v>Moderado</x:v>
      </x:c>
    </x:row>
    <x:row r="41">
      <x:c r="A41" s="16" t="n">
        <x:v>40</x:v>
      </x:c>
      <x:c r="B41" s="16" t="str">
        <x:v>​7653117812482919688</x:v>
      </x:c>
      <x:c r="C41" s="16" t="str">
        <x:v>Cinta modeladora</x:v>
      </x:c>
      <x:c r="D41" s="16" t="str">
        <x:v>Demonstração silenciosa/texto visual</x:v>
      </x:c>
      <x:c r="E41" s="16" t="str">
        <x:v>Texto visual demonstra flexibilidade, níveis de fechamento, barbatanas, ajuste, agachamento e uso sob a roupa.</x:v>
      </x:c>
      <x:c r="F41" s="16" t="str">
        <x:v>Teste visual de fechamento, movimento e uso sob a roupa.</x:v>
      </x:c>
      <x:c r="G41" s="16" t="str">
        <x:v>Medo de enrolar, marcar ou ser difícil de ajustar.</x:v>
      </x:c>
      <x:c r="H41" s="16" t="str">
        <x:v>Produto apresentado como barato, sem preço literal no relatório.</x:v>
      </x:c>
      <x:c r="I41" s="16" t="str">
        <x:v>Baixo</x:v>
      </x:c>
    </x:row>
    <x:row r="42">
      <x:c r="A42" s="16" t="n">
        <x:v>41</x:v>
      </x:c>
      <x:c r="B42" s="16" t="str">
        <x:v>​7653487619380202772</x:v>
      </x:c>
      <x:c r="C42" s="16" t="str">
        <x:v>Cinta modeladora</x:v>
      </x:c>
      <x:c r="D42" s="16" t="str">
        <x:v>Transformação/antes e depois</x:v>
      </x:c>
      <x:c r="E42" s="16" t="str">
        <x:v>Relata contexto pessoal de pós-cesárea e apresenta a cinta como solução de uso cotidiano.</x:v>
      </x:c>
      <x:c r="F42" s="16" t="str">
        <x:v>Demonstração da cinta no corpo.</x:v>
      </x:c>
      <x:c r="G42" s="16" t="str">
        <x:v>Gordura localizada e marca sob a roupa.</x:v>
      </x:c>
      <x:c r="H42" s="16" t="str">
        <x:v>Preço inferior a vinte e cinco reais declarado no vídeo.</x:v>
      </x:c>
      <x:c r="I42" s="16" t="str">
        <x:v>Alto</x:v>
      </x:c>
    </x:row>
    <x:row r="43">
      <x:c r="A43" s="16" t="n">
        <x:v>42</x:v>
      </x:c>
      <x:c r="B43" s="16" t="str">
        <x:v>​7655419776734334228</x:v>
      </x:c>
      <x:c r="C43" s="16" t="str">
        <x:v>Cinta modeladora</x:v>
      </x:c>
      <x:c r="D43" s="16" t="str">
        <x:v>Transformação/antes e depois</x:v>
      </x:c>
      <x:c r="E43" s="16" t="str">
        <x:v>Apresenta a cinta como solução para incômodos abdominais no pós-parto e relata uso diário.</x:v>
      </x:c>
      <x:c r="F43" s="16" t="str">
        <x:v>Mostra a folga de um shorts que costuma usar.</x:v>
      </x:c>
      <x:c r="G43" s="16" t="str">
        <x:v>Mudança abdominal depois da gestação.</x:v>
      </x:c>
      <x:c r="H43" s="16" t="str">
        <x:v>Preço inferior a vinte e cinco reais declarado no carrinho.</x:v>
      </x:c>
      <x:c r="I43" s="16" t="str">
        <x:v>Alto</x:v>
      </x:c>
    </x:row>
    <x:row r="44">
      <x:c r="A44" s="16" t="n">
        <x:v>43</x:v>
      </x:c>
      <x:c r="B44" s="16" t="str">
        <x:v>​7660243292377959687</x:v>
      </x:c>
      <x:c r="C44" s="16" t="str">
        <x:v>Cinta modeladora</x:v>
      </x:c>
      <x:c r="D44" s="16" t="str">
        <x:v>Dor &gt; solução</x:v>
      </x:c>
      <x:c r="E44" s="16" t="str">
        <x:v>Identifica a marca abdominal sob a roupa, mostra a cinta, exibe a silhueta com a peça e afirma que ela fica escondida sob a roupa.</x:v>
      </x:c>
      <x:c r="F44" s="16" t="str">
        <x:v>Demonstração frontal e lateral; informa que veste 42 e usa tamanho P.</x:v>
      </x:c>
      <x:c r="G44" s="16" t="str">
        <x:v>A região abdominal marcada sob a roupa.</x:v>
      </x:c>
      <x:c r="H44" s="16" t="str">
        <x:v>Oferta relâmpago mencionada no vídeo.</x:v>
      </x:c>
      <x:c r="I44" s="16" t="str">
        <x:v>Moderado</x:v>
      </x:c>
    </x:row>
    <x:row r="45">
      <x:c r="A45" s="16" t="n">
        <x:v>44</x:v>
      </x:c>
      <x:c r="B45" s="16" t="str">
        <x:v>​7663742403920022802</x:v>
      </x:c>
      <x:c r="C45" s="16" t="str">
        <x:v>Cinta modeladora</x:v>
      </x:c>
      <x:c r="D45" s="16" t="str">
        <x:v>Demonstração silenciosa/texto visual</x:v>
      </x:c>
      <x:c r="E45" s="16" t="str">
        <x:v>Demonstração silenciosa com transição para a cinta posicionada e exibição do fechamento frontal.</x:v>
      </x:c>
      <x:c r="F45" s="16" t="str">
        <x:v>Antes, uso da cinta e retirada ao final.</x:v>
      </x:c>
      <x:c r="G45" s="16" t="str">
        <x:v>Busca por mudança visual da cintura.</x:v>
      </x:c>
      <x:c r="H45" s="16" t="str">
        <x:v>Preço inferior a R$20 no texto visual.</x:v>
      </x:c>
      <x:c r="I45" s="16" t="str">
        <x:v>Alto</x:v>
      </x:c>
    </x:row>
    <x:row r="46">
      <x:c r="A46" s="16" t="n">
        <x:v>45</x:v>
      </x:c>
      <x:c r="B46" s="16" t="str">
        <x:v>​7666099558031609095</x:v>
      </x:c>
      <x:c r="C46" s="16" t="str">
        <x:v>Cinta modeladora</x:v>
      </x:c>
      <x:c r="D46" s="16" t="str">
        <x:v>Teste/demonstração</x:v>
      </x:c>
      <x:c r="E46" s="16" t="str">
        <x:v>Responde à acusação, repete roupa e produto, veste a cinta sem cortes e explica o posicionamento e o fechamento.</x:v>
      </x:c>
      <x:c r="F46" s="16" t="str">
        <x:v>Demonstração contínua, sem cortes, da colocação da cinta.</x:v>
      </x:c>
      <x:c r="G46" s="16" t="str">
        <x:v>Suspeita de troca de roupa ou manipulação do resultado.</x:v>
      </x:c>
      <x:c r="H46" s="16" t="str">
        <x:v>Valor promocional mencionado sem preço no relatório.</x:v>
      </x:c>
      <x:c r="I46" s="16" t="str">
        <x:v>Baixo</x:v>
      </x:c>
    </x:row>
    <x:row r="47">
      <x:c r="A47" s="16" t="n">
        <x:v>46</x:v>
      </x:c>
      <x:c r="B47" s="16" t="str">
        <x:v>​7666990429929278740</x:v>
      </x:c>
      <x:c r="C47" s="16" t="str">
        <x:v>Cinta modeladora</x:v>
      </x:c>
      <x:c r="D47" s="16" t="str">
        <x:v>Transformação/antes e depois</x:v>
      </x:c>
      <x:c r="E47" s="16" t="str">
        <x:v>Contrasta a aparência atual com a anterior e relata dois meses de uso antes de mostrar o resultado.</x:v>
      </x:c>
      <x:c r="F47" s="16" t="str">
        <x:v>Montagem visual de antes e depois.</x:v>
      </x:c>
      <x:c r="G47" s="16" t="str">
        <x:v>Preço percebido como barreira.</x:v>
      </x:c>
      <x:c r="H47" s="16" t="str">
        <x:v>Preço inferior a dez reais declarado pela criadora.</x:v>
      </x:c>
      <x:c r="I47" s="16" t="str">
        <x:v>Moderado</x:v>
      </x:c>
    </x:row>
    <x:row r="48">
      <x:c r="A48" s="16" t="n">
        <x:v>47</x:v>
      </x:c>
      <x:c r="B48" s="16" t="str">
        <x:v>​7667944020026346772</x:v>
      </x:c>
      <x:c r="C48" s="16" t="str">
        <x:v>Cinta modeladora</x:v>
      </x:c>
      <x:c r="D48" s="16" t="str">
        <x:v>Transformação/antes e depois</x:v>
      </x:c>
      <x:c r="E48" s="16" t="str">
        <x:v>Compara imagens separadas por dez dias de uso.</x:v>
      </x:c>
      <x:c r="F48" s="16" t="str">
        <x:v>Montagem visual de antes e depois.</x:v>
      </x:c>
      <x:c r="G48" s="16" t="str">
        <x:v>Busca por uma cintura mais marcada.</x:v>
      </x:c>
      <x:c r="H48" s="16" t="str">
        <x:v>Preço de dez reais declarado pela criadora.</x:v>
      </x:c>
      <x:c r="I48" s="16" t="str">
        <x:v>Alto</x:v>
      </x:c>
    </x:row>
    <x:row r="49">
      <x:c r="A49" s="16" t="n">
        <x:v>48</x:v>
      </x:c>
      <x:c r="B49" s="16" t="str">
        <x:v>​7669558622136978696</x:v>
      </x:c>
      <x:c r="C49" s="16" t="str">
        <x:v>Conjunto feminino</x:v>
      </x:c>
      <x:c r="D49" s="16" t="str">
        <x:v>Apresentação de benefícios</x:v>
      </x:c>
      <x:c r="E49" s="16" t="str">
        <x:v>Estou usando o P, e o caimento ficou perfeito.</x:v>
      </x:c>
      <x:c r="F49" s="16" t="str"/>
      <x:c r="G49" s="16" t="str"/>
      <x:c r="H49" s="16" t="str"/>
      <x:c r="I49" s="16" t="str">
        <x:v>Baixo</x:v>
      </x:c>
    </x:row>
    <x:row r="50">
      <x:c r="A50" s="16" t="n">
        <x:v>49</x:v>
      </x:c>
      <x:c r="B50" s="16" t="str">
        <x:v>​7651252361238695186</x:v>
      </x:c>
      <x:c r="C50" s="16" t="str">
        <x:v>Descascador de frutas e legumes</x:v>
      </x:c>
      <x:c r="D50" s="16" t="str">
        <x:v>Dor &gt; solução</x:v>
      </x:c>
      <x:c r="E50" s="16" t="str">
        <x:v>E diferente dos descascadores normais. Este tem um design unico no contorno da lamina. Descascar e muito facil. Descasca muito finamente e nao danifica frutas ou legumes. O cabo e confortavel e bonito. Hoje esta pela metade do preco.</x:v>
      </x:c>
      <x:c r="F50" s="16" t="str"/>
      <x:c r="G50" s="16" t="str"/>
      <x:c r="H50" s="16" t="str">
        <x:v>Hoje esta pela metade do preco. Os cem primeiros que comprarem recebem frete gratis.</x:v>
      </x:c>
      <x:c r="I50" s="16" t="str">
        <x:v>Baixo</x:v>
      </x:c>
    </x:row>
    <x:row r="51">
      <x:c r="A51" s="16" t="n">
        <x:v>50</x:v>
      </x:c>
      <x:c r="B51" s="16" t="str">
        <x:v>​7650992235663641874</x:v>
      </x:c>
      <x:c r="C51" s="16" t="str">
        <x:v>Fatiador/cortador de legumes</x:v>
      </x:c>
      <x:c r="D51" s="16" t="str">
        <x:v>Demonstração silenciosa/texto visual</x:v>
      </x:c>
      <x:c r="E51" s="16" t="str"/>
      <x:c r="F51" s="16" t="str"/>
      <x:c r="G51" s="16" t="str"/>
      <x:c r="H51" s="16" t="str"/>
      <x:c r="I51" s="16" t="str">
        <x:v>Baixo</x:v>
      </x:c>
    </x:row>
    <x:row r="52">
      <x:c r="A52" s="16" t="n">
        <x:v>51</x:v>
      </x:c>
      <x:c r="B52" s="16" t="str">
        <x:v>​7651690187260546324</x:v>
      </x:c>
      <x:c r="C52" s="16" t="str">
        <x:v>Fatiador/cortador de legumes</x:v>
      </x:c>
      <x:c r="D52" s="16" t="str">
        <x:v>Demonstração silenciosa/texto visual</x:v>
      </x:c>
      <x:c r="E52" s="16" t="str"/>
      <x:c r="F52" s="16" t="str"/>
      <x:c r="G52" s="16" t="str"/>
      <x:c r="H52" s="16" t="str"/>
      <x:c r="I52" s="16" t="str">
        <x:v>Baixo</x:v>
      </x:c>
    </x:row>
    <x:row r="53">
      <x:c r="A53" s="16" t="n">
        <x:v>52</x:v>
      </x:c>
      <x:c r="B53" s="16" t="str">
        <x:v>​7652124032891981064</x:v>
      </x:c>
      <x:c r="C53" s="16" t="str">
        <x:v>Fatiador/cortador de legumes</x:v>
      </x:c>
      <x:c r="D53" s="16" t="str">
        <x:v>Demonstração silenciosa/texto visual</x:v>
      </x:c>
      <x:c r="E53" s="16" t="str"/>
      <x:c r="F53" s="16" t="str"/>
      <x:c r="G53" s="16" t="str"/>
      <x:c r="H53" s="16" t="str"/>
      <x:c r="I53" s="16" t="str">
        <x:v>Baixo</x:v>
      </x:c>
    </x:row>
    <x:row r="54">
      <x:c r="A54" s="16" t="n">
        <x:v>53</x:v>
      </x:c>
      <x:c r="B54" s="16" t="str">
        <x:v>​7654105916635221269</x:v>
      </x:c>
      <x:c r="C54" s="16" t="str">
        <x:v>Fatiador/cortador de legumes</x:v>
      </x:c>
      <x:c r="D54" s="16" t="str">
        <x:v>Oferta direta ultracurta</x:v>
      </x:c>
      <x:c r="E54" s="16" t="str">
        <x:v>Mas esta muito barato. Comprei sem pensar muito e quando chegou... Uau, juro, nao esperava que fosse tao bom. E daquelas coisas que voce diz: Ok, isso realmente vale muito a pena. Esta na promocao agora, mas acho que nao dura muito.</x:v>
      </x:c>
      <x:c r="F54" s="16" t="str">
        <x:v>Comprei sem pensar muito e quando chegou...</x:v>
      </x:c>
      <x:c r="G54" s="16" t="str">
        <x:v>Mas esta muito barato. Uau, juro, nao esperava que fosse tao bom.</x:v>
      </x:c>
      <x:c r="H54" s="16" t="str">
        <x:v>Serio, eu nao sei quem botou esse preco. Mas esta muito barato. Esta na promocao agora, mas acho que nao dura muito.</x:v>
      </x:c>
      <x:c r="I54" s="16" t="str">
        <x:v>Moderado</x:v>
      </x:c>
    </x:row>
    <x:row r="55">
      <x:c r="A55" s="16" t="n">
        <x:v>54</x:v>
      </x:c>
      <x:c r="B55" s="16" t="str">
        <x:v>​7654161058545913096</x:v>
      </x:c>
      <x:c r="C55" s="16" t="str">
        <x:v>Fatiador/cortador de legumes</x:v>
      </x:c>
      <x:c r="D55" s="16" t="str">
        <x:v>Apresentação de benefícios</x:v>
      </x:c>
      <x:c r="E55" s="16" t="str">
        <x:v>Preco de ataque, qualidade premium.</x:v>
      </x:c>
      <x:c r="F55" s="16" t="str"/>
      <x:c r="G55" s="16" t="str"/>
      <x:c r="H55" s="16" t="str">
        <x:v>Preco de ataque, qualidade premium.</x:v>
      </x:c>
      <x:c r="I55" s="16" t="str">
        <x:v>Baixo</x:v>
      </x:c>
    </x:row>
    <x:row r="56">
      <x:c r="A56" s="16" t="n">
        <x:v>55</x:v>
      </x:c>
      <x:c r="B56" s="16" t="str">
        <x:v>​7654230036014206229</x:v>
      </x:c>
      <x:c r="C56" s="16" t="str">
        <x:v>Fatiador/cortador de legumes</x:v>
      </x:c>
      <x:c r="D56" s="16" t="str">
        <x:v>Oferta direta ultracurta</x:v>
      </x:c>
      <x:c r="E56" s="16" t="str">
        <x:v>Mas esta muito barato. Comprei sem pensar muito e quando chegou... Uau, juro, nao esperava que fosse tao bom. Isso e daquelas coisas que voce diz: Ok, isso realmente vale muito a pena. Esta na promocao agora, mas acho que nao dura muito.</x:v>
      </x:c>
      <x:c r="F56" s="16" t="str">
        <x:v>Comprei sem pensar muito e quando chegou...</x:v>
      </x:c>
      <x:c r="G56" s="16" t="str">
        <x:v>Mas esta muito barato. Uau, juro, nao esperava que fosse tao bom.</x:v>
      </x:c>
      <x:c r="H56" s="16" t="str">
        <x:v>Serio, nao sei quem botou esse preco. Mas esta muito barato. Esta na promocao agora, mas acho que nao dura muito.</x:v>
      </x:c>
      <x:c r="I56" s="16" t="str">
        <x:v>Moderado</x:v>
      </x:c>
    </x:row>
    <x:row r="57">
      <x:c r="A57" s="16" t="n">
        <x:v>56</x:v>
      </x:c>
      <x:c r="B57" s="16" t="str">
        <x:v>​7655920266190703892</x:v>
      </x:c>
      <x:c r="C57" s="16" t="str">
        <x:v>Fatiador/cortador de legumes</x:v>
      </x:c>
      <x:c r="D57" s="16" t="str">
        <x:v>Demonstração silenciosa/texto visual</x:v>
      </x:c>
      <x:c r="E57" s="16" t="str"/>
      <x:c r="F57" s="16" t="str"/>
      <x:c r="G57" s="16" t="str"/>
      <x:c r="H57" s="16" t="str"/>
      <x:c r="I57" s="16" t="str">
        <x:v>Baixo</x:v>
      </x:c>
    </x:row>
    <x:row r="58">
      <x:c r="A58" s="16" t="n">
        <x:v>57</x:v>
      </x:c>
      <x:c r="B58" s="16" t="str">
        <x:v>​7656130920914734344</x:v>
      </x:c>
      <x:c r="C58" s="16" t="str">
        <x:v>Fatiador/cortador de legumes</x:v>
      </x:c>
      <x:c r="D58" s="16" t="str">
        <x:v>Teste/demonstração</x:v>
      </x:c>
      <x:c r="E58" s="16" t="str">
        <x:v>Se tem uma coisa que eu gosto de comer, mas odeio fazer, e repolho, ta? Porque eu nunca consigo cortar ele nas medidas certas. Foi ai que esse queridinho vai entrar em acao agora. E a gente vai ver se realmente vai funcionar, porque eu to em duvida se isso aqui vai ficar bem uniforme. Ou se o corte e bom, ta? Entao, bora testar. Gente, olha aqui a quantidade, como ele saiu certinho. Vou pegar ate a parte maior, que eu acho que fiz errado antes. Porque dai eu consigo fazer um apoio aqui e fazer esse corte assim, o. E que eu to olhando aqui na camera, ne, gente? Eu nao to olhando o repolho, ta? Meu Deus, ate essas partes duras sairam tipo um filetinho, ta vendo? Pra fazer um refogado, uma sopa, ou ate comer cru. Gente, olha isso aqui. Olha aqui. Ta mega aprovado, muito barato, gente. Toda dona de casa deveria ter isso aqui. Ta mega aprovado.</x:v>
      </x:c>
      <x:c r="F58" s="16" t="str">
        <x:v>E a gente vai ver se realmente vai funcionar, porque eu to em duvida se isso aqui vai ficar bem uniforme. Ou se o corte e bom, ta? Entao, bora testar. Gente, olha aqui a quantidade, como ele saiu certinho. Vou pegar ate a parte maior, que eu acho que fiz errado antes.</x:v>
      </x:c>
      <x:c r="G58" s="16" t="str">
        <x:v>E a gente vai ver se realmente vai funcionar, porque eu to em duvida se isso aqui vai ficar bem uniforme. Ta mega aprovado, muito barato, gente. Toda dona de casa deveria ter isso aqui.</x:v>
      </x:c>
      <x:c r="H58" s="16" t="str">
        <x:v>Ta mega aprovado, muito barato, gente. Toda dona de casa deveria ter isso aqui.</x:v>
      </x:c>
      <x:c r="I58" s="16" t="str">
        <x:v>Baixo</x:v>
      </x:c>
    </x:row>
    <x:row r="59">
      <x:c r="A59" s="16" t="n">
        <x:v>58</x:v>
      </x:c>
      <x:c r="B59" s="16" t="str">
        <x:v>​7656442067308104980</x:v>
      </x:c>
      <x:c r="C59" s="16" t="str">
        <x:v>Fatiador/cortador de legumes</x:v>
      </x:c>
      <x:c r="D59" s="16" t="str">
        <x:v>Demonstração silenciosa/texto visual</x:v>
      </x:c>
      <x:c r="E59" s="16" t="str"/>
      <x:c r="F59" s="16" t="str"/>
      <x:c r="G59" s="16" t="str"/>
      <x:c r="H59" s="16" t="str"/>
      <x:c r="I59" s="16" t="str">
        <x:v>Baixo</x:v>
      </x:c>
    </x:row>
    <x:row r="60">
      <x:c r="A60" s="16" t="n">
        <x:v>59</x:v>
      </x:c>
      <x:c r="B60" s="16" t="str">
        <x:v>​7657719918648986901</x:v>
      </x:c>
      <x:c r="C60" s="16" t="str">
        <x:v>Fatiador/cortador de legumes</x:v>
      </x:c>
      <x:c r="D60" s="16" t="str">
        <x:v>Apresentação de benefícios</x:v>
      </x:c>
      <x:c r="E60" s="16" t="str">
        <x:v>Conheca o fatiador Kitop. Olha so essa praticidade. Tiras fininhas em segundos. Perfeito pra sua couve.</x:v>
      </x:c>
      <x:c r="F60" s="16" t="str">
        <x:v>Olha so essa praticidade.</x:v>
      </x:c>
      <x:c r="G60" s="16" t="str"/>
      <x:c r="H60" s="16" t="str"/>
      <x:c r="I60" s="16" t="str">
        <x:v>Baixo</x:v>
      </x:c>
    </x:row>
    <x:row r="61">
      <x:c r="A61" s="16" t="n">
        <x:v>60</x:v>
      </x:c>
      <x:c r="B61" s="16" t="str">
        <x:v>​7642134681743379733</x:v>
      </x:c>
      <x:c r="C61" s="16" t="str">
        <x:v>Kit de body splashes masculinos</x:v>
      </x:c>
      <x:c r="D61" s="16" t="str">
        <x:v>Oferta direta ultracurta</x:v>
      </x:c>
      <x:c r="E61" s="16" t="str"/>
      <x:c r="F61" s="16" t="str"/>
      <x:c r="G61" s="16" t="str"/>
      <x:c r="H61" s="16" t="str">
        <x:v>4 bores flash por menos de R$ 30 e na promoção menos de R$ 25.</x:v>
      </x:c>
      <x:c r="I61" s="16" t="str">
        <x:v>Moderado</x:v>
      </x:c>
    </x:row>
    <x:row r="62">
      <x:c r="A62" s="16" t="n">
        <x:v>61</x:v>
      </x:c>
      <x:c r="B62" s="16" t="str">
        <x:v>​7643551744722521365</x:v>
      </x:c>
      <x:c r="C62" s="16" t="str">
        <x:v>Kit de body splashes masculinos</x:v>
      </x:c>
      <x:c r="D62" s="16" t="str">
        <x:v>Oferta direta ultracurta</x:v>
      </x:c>
      <x:c r="E62" s="16" t="str">
        <x:v>fixa e lembra que eles importados.</x:v>
      </x:c>
      <x:c r="F62" s="16" t="str"/>
      <x:c r="G62" s="16" t="str">
        <x:v>4 bores plaises masculinos por menos de 33 reais, eu achei que era pegadinho, cheiro</x:v>
      </x:c>
      <x:c r="H62" s="16" t="str">
        <x:v>4 bores plaises masculinos por menos de 33 reais, eu achei que era pegadinho, cheiro</x:v>
      </x:c>
      <x:c r="I62" s="16" t="str">
        <x:v>Moderado</x:v>
      </x:c>
    </x:row>
    <x:row r="63">
      <x:c r="A63" s="16" t="n">
        <x:v>62</x:v>
      </x:c>
      <x:c r="B63" s="16" t="str">
        <x:v>​7645283708060175636</x:v>
      </x:c>
      <x:c r="C63" s="16" t="str">
        <x:v>Kit de body splashes masculinos</x:v>
      </x:c>
      <x:c r="D63" s="16" t="str">
        <x:v>Oferta direta ultracurta</x:v>
      </x:c>
      <x:c r="E63" s="16" t="str">
        <x:v>Cheiro de homem elegante, arrumado e marcante sem gastar muito. Kit combina fragrâncias modernas e intensas que deixam cheiro de homem bem cuidado de inteiro. Ótimo pra usar diariamente e receber elogios. As embalagens são lindas e o cheiro lembra os importados.</x:v>
      </x:c>
      <x:c r="F63" s="16" t="str"/>
      <x:c r="G63" s="16" t="str">
        <x:v>Cheiro de homem elegante, arrumado e marcante sem gastar muito.</x:v>
      </x:c>
      <x:c r="H63" s="16" t="str">
        <x:v>4 bóres plais de masculinos por menos de 40 reais e agora saindo por menos de 35. Aproveita enquanto ainda aparece a sua oferta.</x:v>
      </x:c>
      <x:c r="I63" s="16" t="str">
        <x:v>Moderado</x:v>
      </x:c>
    </x:row>
    <x:row r="64">
      <x:c r="A64" s="16" t="n">
        <x:v>63</x:v>
      </x:c>
      <x:c r="B64" s="16" t="str">
        <x:v>​7647862663225085204</x:v>
      </x:c>
      <x:c r="C64" s="16" t="str">
        <x:v>Kit de body splashes masculinos</x:v>
      </x:c>
      <x:c r="D64" s="16" t="str">
        <x:v>Oferta direta ultracurta</x:v>
      </x:c>
      <x:c r="E64" s="16" t="str">
        <x:v>Olha esse kit. Olha esse kit masculino com quatro bóres pléxas inspirado em fragrance e agora. São quatro fragrâncias marcantes pra trabalho, encontro, rolê ou presente.</x:v>
      </x:c>
      <x:c r="F64" s="16" t="str">
        <x:v>Olha esse kit. Olha esse kit masculino com quatro bóres pléxas inspirado em fragrance e agora.</x:v>
      </x:c>
      <x:c r="G64" s="16" t="str">
        <x:v>Tá muito barato, são 69% de desconto e hoje pode ser o último dia. São quatro fragrâncias marcantes pra trabalho, encontro, rolê ou presente.</x:v>
      </x:c>
      <x:c r="H64" s="16" t="str">
        <x:v>Tá muito barato, são 69% de desconto e hoje pode ser o último dia. Clica agora, aproveito o desconto e...</x:v>
      </x:c>
      <x:c r="I64" s="16" t="str">
        <x:v>Moderado</x:v>
      </x:c>
    </x:row>
    <x:row r="65">
      <x:c r="A65" s="16" t="n">
        <x:v>64</x:v>
      </x:c>
      <x:c r="B65" s="16" t="str">
        <x:v>​7649047658216148231</x:v>
      </x:c>
      <x:c r="C65" s="16" t="str">
        <x:v>Kit de body splashes masculinos</x:v>
      </x:c>
      <x:c r="D65" s="16" t="str">
        <x:v>Apresentação de benefícios</x:v>
      </x:c>
      <x:c r="E65" s="16" t="str"/>
      <x:c r="F65" s="16" t="str"/>
      <x:c r="G65" s="16" t="str"/>
      <x:c r="H65" s="16" t="str"/>
      <x:c r="I65" s="16" t="str">
        <x:v>Baixo</x:v>
      </x:c>
    </x:row>
    <x:row r="66">
      <x:c r="A66" s="16" t="n">
        <x:v>65</x:v>
      </x:c>
      <x:c r="B66" s="16" t="str">
        <x:v>​7655451196701953300</x:v>
      </x:c>
      <x:c r="C66" s="16" t="str">
        <x:v>Kit de body splashes masculinos</x:v>
      </x:c>
      <x:c r="D66" s="16" t="str">
        <x:v>Oferta direta ultracurta</x:v>
      </x:c>
      <x:c r="E66" s="16" t="str">
        <x:v>Homem cheiroso, chama atenção e agora você não precisa nem de 40 reais para levar 4 de uma vez.</x:v>
      </x:c>
      <x:c r="F66" s="16" t="str"/>
      <x:c r="G66" s="16" t="str"/>
      <x:c r="H66" s="16" t="str">
        <x:v>que te masculino com quatro bores plaises por um preço que eu jurava ser de um só. Homem cheiroso, chama atenção e agora você não precisa nem de 40 reais para levar 4 de uma vez.</x:v>
      </x:c>
      <x:c r="I66" s="16" t="str">
        <x:v>Moderado</x:v>
      </x:c>
    </x:row>
    <x:row r="67">
      <x:c r="A67" s="16" t="n">
        <x:v>66</x:v>
      </x:c>
      <x:c r="B67" s="16" t="str">
        <x:v>​7655814557306326279</x:v>
      </x:c>
      <x:c r="C67" s="16" t="str">
        <x:v>Kit de body splashes masculinos</x:v>
      </x:c>
      <x:c r="D67" s="16" t="str">
        <x:v>Depoimento pessoal</x:v>
      </x:c>
      <x:c r="E67" s="16" t="str">
        <x:v>Deu seu prostituto? E claro que ela se amata O que passa que o nobalha? O meu fogo está o seu cara? Ai, cala o bã? Você está contra a inopo assim, má, bã?</x:v>
      </x:c>
      <x:c r="F67" s="16" t="str"/>
      <x:c r="G67" s="16" t="str"/>
      <x:c r="H67" s="16" t="str"/>
      <x:c r="I67" s="16" t="str">
        <x:v>Baixo</x:v>
      </x:c>
    </x:row>
    <x:row r="68">
      <x:c r="A68" s="16" t="n">
        <x:v>67</x:v>
      </x:c>
      <x:c r="B68" s="16" t="str">
        <x:v>​7658746614630108436</x:v>
      </x:c>
      <x:c r="C68" s="16" t="str">
        <x:v>Kit de body splashes masculinos</x:v>
      </x:c>
      <x:c r="D68" s="16" t="str">
        <x:v>Identidade/prova social</x:v>
      </x:c>
      <x:c r="E68" s="16" t="str">
        <x:v>São quatro body splashes inspirados em fragrancias famosas que têm cheiro elegante, não parecem produto barato e a fixação na pele é muito boa. Um kit desse em loja física provavelmente sairia bem mais caro.</x:v>
      </x:c>
      <x:c r="F68" s="16" t="str"/>
      <x:c r="G68" s="16" t="str">
        <x:v>que têm cheiro elegante, não parecem produto barato Um kit desse em loja física provavelmente sairia bem mais caro.</x:v>
      </x:c>
      <x:c r="H68" s="16" t="str">
        <x:v>que têm cheiro elegante, não parecem produto barato E pelo valor que está hoje, vale muito a pena aproveitar.</x:v>
      </x:c>
      <x:c r="I68" s="16" t="str">
        <x:v>Moderado</x:v>
      </x:c>
    </x:row>
    <x:row r="69">
      <x:c r="A69" s="16" t="n">
        <x:v>68</x:v>
      </x:c>
      <x:c r="B69" s="16" t="str">
        <x:v>​7660560041065368853</x:v>
      </x:c>
      <x:c r="C69" s="16" t="str">
        <x:v>Kit de body splashes masculinos</x:v>
      </x:c>
      <x:c r="D69" s="16" t="str">
        <x:v>Apresentação de benefícios</x:v>
      </x:c>
      <x:c r="E69" s="16" t="str">
        <x:v>30 reais. O cheiro é marcante, fixa muito bem e passa impressão de perfum e caro. Esse Kit virou febre porque entrega qualidade por um preço absurdo de bom. E você paga muito menos do que em loja física.</x:v>
      </x:c>
      <x:c r="F69" s="16" t="str"/>
      <x:c r="G69" s="16" t="str">
        <x:v>O cheiro é marcante, fixa muito bem e passa impressão de perfum e caro.</x:v>
      </x:c>
      <x:c r="H69" s="16" t="str">
        <x:v>30 reais. Esse Kit virou febre porque entrega qualidade por um preço absurdo de bom. Se o carrinho ainda apareceu aí, corre antes da oferta acabar.</x:v>
      </x:c>
      <x:c r="I69" s="16" t="str">
        <x:v>Moderado</x:v>
      </x:c>
    </x:row>
    <x:row r="70">
      <x:c r="A70" s="16" t="n">
        <x:v>69</x:v>
      </x:c>
      <x:c r="B70" s="16" t="str">
        <x:v>​7668325517308759316</x:v>
      </x:c>
      <x:c r="C70" s="16" t="str">
        <x:v>Kit de body splashes masculinos</x:v>
      </x:c>
      <x:c r="D70" s="16" t="str">
        <x:v>Oferta direta ultracurta</x:v>
      </x:c>
      <x:c r="E70" s="16" t="str">
        <x:v>Cheiro de homem elegante, marcante e bem cuidado sem gastar quase nada.</x:v>
      </x:c>
      <x:c r="F70" s="16" t="str"/>
      <x:c r="G70" s="16" t="str">
        <x:v>Cheiro de homem elegante, marcante e bem cuidado sem gastar quase nada.</x:v>
      </x:c>
      <x:c r="H70" s="16" t="str">
        <x:v>Quatro bores plaises masculinos por menos de 30 reais na oferta relâmpago. Aproveita enquanto esse preço ainda está aparecendo.</x:v>
      </x:c>
      <x:c r="I70" s="16" t="str">
        <x:v>Moderado</x:v>
      </x:c>
    </x:row>
    <x:row r="71">
      <x:c r="A71" s="16" t="n">
        <x:v>70</x:v>
      </x:c>
      <x:c r="B71" s="16" t="str">
        <x:v>​7645995437526093077</x:v>
      </x:c>
      <x:c r="C71" s="16" t="str">
        <x:v>Kit de formas de silicone</x:v>
      </x:c>
      <x:c r="D71" s="16" t="str">
        <x:v>Depoimento pessoal</x:v>
      </x:c>
      <x:c r="E71" s="16" t="str">
        <x:v>Depois que comecei a usar essas formas de silicone, eu nunca mais esfreguei minha air fryer. Fica tudo organizado, nao gruda e sem sujar a cesta. O kit com seis pecas esta por menos de 15 reais. Sao seis formas de silicone em tamanhos diferentes.</x:v>
      </x:c>
      <x:c r="F71" s="16" t="str"/>
      <x:c r="G71" s="16" t="str"/>
      <x:c r="H71" s="16" t="str">
        <x:v>O kit com seis pecas esta por menos de 15 reais. Clica no carrinho e aproveita, oferta boa acaba rapido.</x:v>
      </x:c>
      <x:c r="I71" s="16" t="str">
        <x:v>Moderado</x:v>
      </x:c>
    </x:row>
    <x:row r="72">
      <x:c r="A72" s="16" t="n">
        <x:v>71</x:v>
      </x:c>
      <x:c r="B72" s="16" t="str">
        <x:v>​7646067571699109141</x:v>
      </x:c>
      <x:c r="C72" s="16" t="str">
        <x:v>Kit de formas de silicone</x:v>
      </x:c>
      <x:c r="D72" s="16" t="str">
        <x:v>Depoimento pessoal</x:v>
      </x:c>
      <x:c r="E72" s="16" t="str">
        <x:v>Antiaderente e vem em varios tamanhos, sao de silicone flexivel, antiaderente, reutilizaveis e lavaveis. Vem seis tamanhos diferentes, serve pra air fryer, forno e micro-ondas. E o preco esta incrivel nessa oferta, kit completo com seis formas.</x:v>
      </x:c>
      <x:c r="F72" s="16" t="str"/>
      <x:c r="G72" s="16" t="str">
        <x:v>Gente, olha esse kit com seis formas de silicone pra air fryer que eu achei.</x:v>
      </x:c>
      <x:c r="H72" s="16" t="str">
        <x:v>E o preco esta incrivel nessa oferta, kit completo com seis formas.</x:v>
      </x:c>
      <x:c r="I72" s="16" t="str">
        <x:v>Moderado</x:v>
      </x:c>
    </x:row>
    <x:row r="73">
      <x:c r="A73" s="16" t="n">
        <x:v>72</x:v>
      </x:c>
      <x:c r="B73" s="16" t="str">
        <x:v>​7659856458086911253</x:v>
      </x:c>
      <x:c r="C73" s="16" t="str">
        <x:v>Kit de potes</x:v>
      </x:c>
      <x:c r="D73" s="16" t="str">
        <x:v>Depoimento pessoal</x:v>
      </x:c>
      <x:c r="E73" s="16" t="str">
        <x:v>Perfeito para marmitas, frutas, refeicoes e organizacao da geladeira sem bagunca e sem desperdicio.</x:v>
      </x:c>
      <x:c r="F73" s="16" t="str"/>
      <x:c r="G73" s="16" t="str"/>
      <x:c r="H73" s="16" t="str">
        <x:v>Bug do TikTok Shop: de R$ 79,90 por apenas R$ 39,90 no kit com 12 potes de 800 ml. Eu nao acreditei quando vi. Clica agora no carrinho laranja e garante o seu antes que o estoque acabe ou o preco suba.</x:v>
      </x:c>
      <x:c r="I73" s="16" t="str">
        <x:v>Moderado</x:v>
      </x:c>
    </x:row>
    <x:row r="74">
      <x:c r="A74" s="16" t="n">
        <x:v>73</x:v>
      </x:c>
      <x:c r="B74" s="16" t="str">
        <x:v>​7630936938945596680</x:v>
      </x:c>
      <x:c r="C74" s="16" t="str">
        <x:v>Legging fitness</x:v>
      </x:c>
      <x:c r="D74" s="16" t="str">
        <x:v>Apresentação de benefícios</x:v>
      </x:c>
      <x:c r="E74" s="16" t="str">
        <x:v>92% de poliamida e olha a grossura desse cos. Ela nao tem costura na frente e nem costura atras. Essa vai deixar voce com um popo GG gigante, viu, amigas? Essa calca veste muito bem. Essa compressao aqui vai comprimir a sua pochetezinha. Nao vai marcar o tabaco e nao fica transparente, ta, amigas? Qualidade sensacional. Ela e muito macia porque ela e uma poliamida de altissima qualidade. Gente, menos de R$90 as duas, ta? Ta valendo super a pena porque, na minha cidade, uma calca dessa qualidade eu nao pagaria menos de R$120.</x:v>
      </x:c>
      <x:c r="F74" s="16" t="str">
        <x:v>92% de poliamida e olha a grossura desse cos. Ela nao tem costura na frente e nem costura atras. Essa calca veste muito bem. Essa compressao aqui vai comprimir a sua pochetezinha. Nao vai marcar o tabaco e nao fica transparente, ta, amigas?</x:v>
      </x:c>
      <x:c r="G74" s="16" t="str">
        <x:v>Essa aqui tem muita compressao e nao marca o tabaco. Nao vai marcar o tabaco e nao fica transparente, ta, amigas?</x:v>
      </x:c>
      <x:c r="H74" s="16" t="str">
        <x:v>Gente, menos de R$90 as duas, ta? Ta valendo super a pena porque, na minha cidade, uma calca dessa qualidade eu nao pagaria menos de R$120. Amigas, ja corre e pega a sua aqui, ta? Porque por esse valor ta um achado.</x:v>
      </x:c>
      <x:c r="I74" s="16" t="str">
        <x:v>Moderado</x:v>
      </x:c>
    </x:row>
    <x:row r="75">
      <x:c r="A75" s="16" t="n">
        <x:v>74</x:v>
      </x:c>
      <x:c r="B75" s="16" t="str">
        <x:v>​7658416944932064532</x:v>
      </x:c>
      <x:c r="C75" s="16" t="str">
        <x:v>Máquina compacta de pão e bolo</x:v>
      </x:c>
      <x:c r="D75" s="16" t="str">
        <x:v>Apresentação de benefícios</x:v>
      </x:c>
      <x:c r="E75" s="16" t="str">
        <x:v>Mini assadeira de pão e bolo, esquenta mais rápido que forno e é mais econômica. A bandeja é antiaderente, sem necessidade de sujeira pra untar e é removível pra limpar fácil. Antes era 40 minutos no forno e hoje não leva nem 10 pra ficar pronto. Em outros sites ela custa uns 130 reais, mas aqui no TikTok ela entrou numa promoção exclusiva e tá saindo por só 58 reais. Mas não vacila que tá acabando rápido porque tem gente pegando até pra revender.</x:v>
      </x:c>
      <x:c r="F75" s="16" t="str"/>
      <x:c r="G75" s="16" t="str"/>
      <x:c r="H75" s="16" t="str">
        <x:v>Em outros sites ela custa uns 130 reais, mas aqui no TikTok ela entrou numa promoção exclusiva e tá saindo por só 58 reais.</x:v>
      </x:c>
      <x:c r="I75" s="16" t="str">
        <x:v>Moderado</x:v>
      </x:c>
    </x:row>
    <x:row r="76">
      <x:c r="A76" s="16" t="n">
        <x:v>75</x:v>
      </x:c>
      <x:c r="B76" s="16" t="str">
        <x:v>​Vd0000001</x:v>
      </x:c>
      <x:c r="C76" s="16" t="str">
        <x:v>Perfume masculino inspirado</x:v>
      </x:c>
      <x:c r="D76" s="16" t="str">
        <x:v>Diálogo encenado + prova social</x:v>
      </x:c>
      <x:c r="E76" s="16" t="str">
        <x:v>Bom dia, meninas! Bom dia! Academia mesmo? Voce leva a gente ali na academia. Bora, bora sim. Nossa, que cheiro que e esse? O que? Voces nao gostaram, nao? Voce passou algum cheirinho aqui no carro? Nao, nao. Isso e meu perfume mesmo. Meu Deus! Mas perai, eu acho que eu conheco esse perfume. Eu conheco tambem. E o Sauvage da Dior. E, na verdade, nao e bem o Sauvage da Dior. E um perfume arabe que e inspirado no Sauvage da Dior. Voces conhecem esse aqui? Perai, nao. Mas ta muito parecido. E igual, olha. Nao, e se for arabe, arabe assim, tem a fixacao maravilhosa. Gostoso, ne? Demais. Muito parecido, gente. Eu posso espirrar aqui so pra ver? Nossa, olha esse jato. Voce viu? Mas isso aqui e cheiro de homem. Nossa, aquele homem. Aquele homem gostoso. Tesao. Mas isso aqui deve ser caro, ne? Nao. Porque e inspirado no Sauvage. E arabe? E. Sauvage da Dior custa mais de dois mil reais. Esse ai nao e nem vinte por cento do valor. Nao e nem dez por cento do valor. Como assim? Sim. Onde voce comprou esse aqui? No TikTok Shop. Voces conhecem o TikTok Shop? Conheco. Entao, pega o celular que eu vou mostrar pra voces.</x:v>
      </x:c>
      <x:c r="F76" s="16" t="str">
        <x:v>As passageiras identificam a semelhança olfativa, testam o borrifador e reagem ao cheiro e à fixação percebida.</x:v>
      </x:c>
      <x:c r="G76" s="16" t="str">
        <x:v>Suspeita de preço alto por lembrar uma fragrância conhecida.</x:v>
      </x:c>
      <x:c r="H76" s="16" t="str">
        <x:v>O motorista compara o preço com uma fragrância de referência e afirma que custa uma fração do valor.</x:v>
      </x:c>
      <x:c r="I76" s="16" t="str">
        <x:v>Moderado</x:v>
      </x:c>
    </x:row>
  </x:sheetData>
  <x:pageMargins left="0.7" right="0.7" top="0.75" bottom="0.75" header="0.3" footer="0.3"/>
  <x:tableParts count="1">
    <x:tablePart xmlns:r="http://schemas.openxmlformats.org/officeDocument/2006/relationships" r:id="R2f70939091f9407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55" hidden="0" customWidth="1"/>
    <x:col min="6" max="6" width="22" hidden="0" customWidth="1"/>
    <x:col min="7" max="7" width="22" hidden="0" customWidth="1"/>
  </x:cols>
  <x:sheetData>
    <x:row r="1">
      <x:c r="A1" s="13" t="str">
        <x:v>Nº</x:v>
      </x:c>
      <x:c r="B1" s="14" t="str">
        <x:v>ID</x:v>
      </x:c>
      <x:c r="C1" s="14" t="str">
        <x:v>Produto</x:v>
      </x:c>
      <x:c r="D1" s="14" t="str">
        <x:v>Tipo de CTA</x:v>
      </x:c>
      <x:c r="E1" s="14" t="str">
        <x:v>CTA observado</x:v>
      </x:c>
      <x:c r="F1" s="14" t="str">
        <x:v>Status</x:v>
      </x:c>
      <x:c r="G1" s="15" t="str">
        <x:v>Risco</x:v>
      </x:c>
    </x:row>
    <x:row r="2">
      <x:c r="A2" s="16" t="n">
        <x:v>1</x:v>
      </x:c>
      <x:c r="B2" s="16" t="str">
        <x:v>​7671368504032906504</x:v>
      </x:c>
      <x:c r="C2" s="16" t="str">
        <x:v>Calça legging bailarina flare</x:v>
      </x:c>
      <x:c r="D2" s="16" t="str">
        <x:v>Carrinho</x:v>
      </x:c>
      <x:c r="E2" s="16" t="str">
        <x:v>Clica aqui no carrinho laranja e dá uma olhadinha.</x:v>
      </x:c>
      <x:c r="F2" s="16" t="str">
        <x:v>Copy falada</x:v>
      </x:c>
      <x:c r="G2" s="16" t="str">
        <x:v>Baixo</x:v>
      </x:c>
    </x:row>
    <x:row r="3">
      <x:c r="A3" s="16" t="n">
        <x:v>2</x:v>
      </x:c>
      <x:c r="B3" s="16" t="str">
        <x:v>​7595297903053212946</x:v>
      </x:c>
      <x:c r="C3" s="16" t="str">
        <x:v>Calça legging flare</x:v>
      </x:c>
      <x:c r="D3" s="16" t="str">
        <x:v>Sem CTA explícito</x:v>
      </x:c>
      <x:c r="E3" s="16" t="str"/>
      <x:c r="F3" s="16" t="str">
        <x:v>Sem copy falada</x:v>
      </x:c>
      <x:c r="G3" s="16" t="str">
        <x:v>Baixo</x:v>
      </x:c>
    </x:row>
    <x:row r="4">
      <x:c r="A4" s="16" t="n">
        <x:v>3</x:v>
      </x:c>
      <x:c r="B4" s="16" t="str">
        <x:v>​7609015220085869831</x:v>
      </x:c>
      <x:c r="C4" s="16" t="str">
        <x:v>Calça legging flare</x:v>
      </x:c>
      <x:c r="D4" s="16" t="str">
        <x:v>Sem CTA explícito</x:v>
      </x:c>
      <x:c r="E4" s="16" t="str"/>
      <x:c r="F4" s="16" t="str">
        <x:v>Copy falada</x:v>
      </x:c>
      <x:c r="G4" s="16" t="str">
        <x:v>Baixo</x:v>
      </x:c>
    </x:row>
    <x:row r="5">
      <x:c r="A5" s="16" t="n">
        <x:v>4</x:v>
      </x:c>
      <x:c r="B5" s="16" t="str">
        <x:v>​7614624337714236693</x:v>
      </x:c>
      <x:c r="C5" s="16" t="str">
        <x:v>Calça legging flare</x:v>
      </x:c>
      <x:c r="D5" s="16" t="str">
        <x:v>Recomendação/compra</x:v>
      </x:c>
      <x:c r="E5" s="16" t="str">
        <x:v>E tenho outras opções de cores também, eu vou deixar nem esse carinhão de eu comprei por 30 reais.</x:v>
      </x:c>
      <x:c r="F5" s="16" t="str">
        <x:v>Copy falada</x:v>
      </x:c>
      <x:c r="G5" s="16" t="str">
        <x:v>Moderado</x:v>
      </x:c>
    </x:row>
    <x:row r="6">
      <x:c r="A6" s="16" t="n">
        <x:v>5</x:v>
      </x:c>
      <x:c r="B6" s="16" t="str">
        <x:v>​7619890258913627412</x:v>
      </x:c>
      <x:c r="C6" s="16" t="str">
        <x:v>Calça legging flare</x:v>
      </x:c>
      <x:c r="D6" s="16" t="str">
        <x:v>Link</x:v>
      </x:c>
      <x:c r="E6" s="16" t="str">
        <x:v>Eu vou deixar o link dela para vocês aqui no meu canelaranje.</x:v>
      </x:c>
      <x:c r="F6" s="16" t="str">
        <x:v>Copy falada</x:v>
      </x:c>
      <x:c r="G6" s="16" t="str">
        <x:v>Moderado</x:v>
      </x:c>
    </x:row>
    <x:row r="7">
      <x:c r="A7" s="16" t="n">
        <x:v>6</x:v>
      </x:c>
      <x:c r="B7" s="16" t="str">
        <x:v>​7624126799483637000</x:v>
      </x:c>
      <x:c r="C7" s="16" t="str">
        <x:v>Calça legging flare</x:v>
      </x:c>
      <x:c r="D7" s="16" t="str">
        <x:v>Carrinho</x:v>
      </x:c>
      <x:c r="E7" s="16" t="str">
        <x:v>agachamento se você for usar para treinar, já clica aqui nesse carrinho laranja porque vives</x:v>
      </x:c>
      <x:c r="F7" s="16" t="str">
        <x:v>Copy falada</x:v>
      </x:c>
      <x:c r="G7" s="16" t="str">
        <x:v>Baixo</x:v>
      </x:c>
    </x:row>
    <x:row r="8">
      <x:c r="A8" s="16" t="n">
        <x:v>7</x:v>
      </x:c>
      <x:c r="B8" s="16" t="str">
        <x:v>​7635842588691483912</x:v>
      </x:c>
      <x:c r="C8" s="16" t="str">
        <x:v>Calça legging flare</x:v>
      </x:c>
      <x:c r="D8" s="16" t="str">
        <x:v>Carrinho</x:v>
      </x:c>
      <x:c r="E8" s="16" t="str">
        <x:v>mais de 50 reais, vou por o carrinho aqui pra vocês ver de conta, saindo pra vocês, porque</x:v>
      </x:c>
      <x:c r="F8" s="16" t="str">
        <x:v>Copy falada</x:v>
      </x:c>
      <x:c r="G8" s="16" t="str">
        <x:v>Moderado</x:v>
      </x:c>
    </x:row>
    <x:row r="9">
      <x:c r="A9" s="16" t="n">
        <x:v>8</x:v>
      </x:c>
      <x:c r="B9" s="16" t="str">
        <x:v>​7636849394784013575</x:v>
      </x:c>
      <x:c r="C9" s="16" t="str">
        <x:v>Calça legging flare</x:v>
      </x:c>
      <x:c r="D9" s="16" t="str">
        <x:v>Link</x:v>
      </x:c>
      <x:c r="E9" s="16" t="str">
        <x:v>Vou por aqui o link, porque tem muitas coisas mais</x:v>
      </x:c>
      <x:c r="F9" s="16" t="str">
        <x:v>Copy falada</x:v>
      </x:c>
      <x:c r="G9" s="16" t="str">
        <x:v>Baixo</x:v>
      </x:c>
    </x:row>
    <x:row r="10">
      <x:c r="A10" s="16" t="n">
        <x:v>9</x:v>
      </x:c>
      <x:c r="B10" s="16" t="str">
        <x:v>​7638721302446083336</x:v>
      </x:c>
      <x:c r="C10" s="16" t="str">
        <x:v>Calça legging flare</x:v>
      </x:c>
      <x:c r="D10" s="16" t="str">
        <x:v>Urgência condicional</x:v>
      </x:c>
      <x:c r="E10" s="16" t="str">
        <x:v>Pô, por o carinho aqui, dá uma olhadinha essa na promoção ainda, porque não tava mais, mas se tiver, a gente compensa muito.</x:v>
      </x:c>
      <x:c r="F10" s="16" t="str">
        <x:v>Copy falada</x:v>
      </x:c>
      <x:c r="G10" s="16" t="str">
        <x:v>Moderado</x:v>
      </x:c>
    </x:row>
    <x:row r="11">
      <x:c r="A11" s="16" t="n">
        <x:v>10</x:v>
      </x:c>
      <x:c r="B11" s="16" t="str">
        <x:v>​7639488015479377173</x:v>
      </x:c>
      <x:c r="C11" s="16" t="str">
        <x:v>Calça legging flare</x:v>
      </x:c>
      <x:c r="D11" s="16" t="str">
        <x:v>Carrinho</x:v>
      </x:c>
      <x:c r="E11" s="16" t="str">
        <x:v>Super cintura alta, o cor dela é duplo, tem bastante compreção, não fica dividindo nessa região. uma qualidade impecável e um preço absurdo. Vai estar disponível no carrinho anjo, que foi onde eu comprei simplesmente perfeita.</x:v>
      </x:c>
      <x:c r="F11" s="16" t="str">
        <x:v>Copy falada</x:v>
      </x:c>
      <x:c r="G11" s="16" t="str">
        <x:v>Moderado</x:v>
      </x:c>
    </x:row>
    <x:row r="12">
      <x:c r="A12" s="16" t="n">
        <x:v>11</x:v>
      </x:c>
      <x:c r="B12" s="16" t="str">
        <x:v>​7639532780979801362</x:v>
      </x:c>
      <x:c r="C12" s="16" t="str">
        <x:v>Calça legging flare</x:v>
      </x:c>
      <x:c r="D12" s="16" t="str">
        <x:v>Carrinho</x:v>
      </x:c>
      <x:c r="E12" s="16" t="str">
        <x:v>Vou por o carrinho aqui pra quem quiser. Então jovem, no seu carrinho, o meu valor que está aí, porque se tiver por menos de 40,</x:v>
      </x:c>
      <x:c r="F12" s="16" t="str">
        <x:v>Copy falada</x:v>
      </x:c>
      <x:c r="G12" s="16" t="str">
        <x:v>Moderado</x:v>
      </x:c>
    </x:row>
    <x:row r="13">
      <x:c r="A13" s="16" t="n">
        <x:v>12</x:v>
      </x:c>
      <x:c r="B13" s="16" t="str">
        <x:v>​7646044465316187412</x:v>
      </x:c>
      <x:c r="C13" s="16" t="str">
        <x:v>Calça legging flare</x:v>
      </x:c>
      <x:c r="D13" s="16" t="str">
        <x:v>Urgência condicional</x:v>
      </x:c>
      <x:c r="E13" s="16" t="str">
        <x:v>Perfeita, então a amiga não perde seu tempo porque eu comprei e já tinha esgotado Aí eu achei outro link, então eu vou deixar o link pra vocês Já pode comprar de confiança, é boa</x:v>
      </x:c>
      <x:c r="F13" s="16" t="str">
        <x:v>Copy falada</x:v>
      </x:c>
      <x:c r="G13" s="16" t="str">
        <x:v>Moderado</x:v>
      </x:c>
    </x:row>
    <x:row r="14">
      <x:c r="A14" s="16" t="n">
        <x:v>13</x:v>
      </x:c>
      <x:c r="B14" s="16" t="str">
        <x:v>​7654391575698607367</x:v>
      </x:c>
      <x:c r="C14" s="16" t="str">
        <x:v>Calça legging flare</x:v>
      </x:c>
      <x:c r="D14" s="16" t="str">
        <x:v>Sem CTA explícito</x:v>
      </x:c>
      <x:c r="E14" s="16" t="str"/>
      <x:c r="F14" s="16" t="str">
        <x:v>Copy falada</x:v>
      </x:c>
      <x:c r="G14" s="16" t="str">
        <x:v>Baixo</x:v>
      </x:c>
    </x:row>
    <x:row r="15">
      <x:c r="A15" s="16" t="n">
        <x:v>14</x:v>
      </x:c>
      <x:c r="B15" s="16" t="str">
        <x:v>​7656974534389583124</x:v>
      </x:c>
      <x:c r="C15" s="16" t="str">
        <x:v>Calça legging flare</x:v>
      </x:c>
      <x:c r="D15" s="16" t="str">
        <x:v>Carrinho</x:v>
      </x:c>
      <x:c r="E15" s="16" t="str">
        <x:v>Então clica aqui no carrinho laranja para você ver o preço que está saindo essa calça. Se tiver o seu tamanho e com desconto, amigo, compra por quê?</x:v>
      </x:c>
      <x:c r="F15" s="16" t="str">
        <x:v>Copy falada</x:v>
      </x:c>
      <x:c r="G15" s="16" t="str">
        <x:v>Moderado</x:v>
      </x:c>
    </x:row>
    <x:row r="16">
      <x:c r="A16" s="16" t="n">
        <x:v>15</x:v>
      </x:c>
      <x:c r="B16" s="16" t="str">
        <x:v>​7659582874403753236</x:v>
      </x:c>
      <x:c r="C16" s="16" t="str">
        <x:v>Calça legging flare</x:v>
      </x:c>
      <x:c r="D16" s="16" t="str">
        <x:v>Sem CTA explícito</x:v>
      </x:c>
      <x:c r="E16" s="16" t="str"/>
      <x:c r="F16" s="16" t="str">
        <x:v>Copy falada</x:v>
      </x:c>
      <x:c r="G16" s="16" t="str">
        <x:v>Moderado</x:v>
      </x:c>
    </x:row>
    <x:row r="17">
      <x:c r="A17" s="16" t="n">
        <x:v>16</x:v>
      </x:c>
      <x:c r="B17" s="16" t="str">
        <x:v>​7668414579935808789</x:v>
      </x:c>
      <x:c r="C17" s="16" t="str">
        <x:v>Calça legging flare</x:v>
      </x:c>
      <x:c r="D17" s="16" t="str">
        <x:v>Carrinho</x:v>
      </x:c>
      <x:c r="E17" s="16" t="str">
        <x:v>Gente, eu amei. Olha isso aqui, como ela fica no corpo, como ela valoriza. Ela tem uma compressão também muito boa nessa região aqui, ó, da cintura. Eu vou deixar aqui no carrinho laranja essa aqui que eu comprei, no valor promocional, tá?</x:v>
      </x:c>
      <x:c r="F17" s="16" t="str">
        <x:v>Copy falada</x:v>
      </x:c>
      <x:c r="G17" s="16" t="str">
        <x:v>Moderado</x:v>
      </x:c>
    </x:row>
    <x:row r="18">
      <x:c r="A18" s="16" t="n">
        <x:v>17</x:v>
      </x:c>
      <x:c r="B18" s="16" t="str">
        <x:v>​7672106803261525269</x:v>
      </x:c>
      <x:c r="C18" s="16" t="str">
        <x:v>Calça legging flare</x:v>
      </x:c>
      <x:c r="D18" s="16" t="str">
        <x:v>Urgência condicional</x:v>
      </x:c>
      <x:c r="E18" s="16" t="str">
        <x:v>Garanti agora, essa semana, essa cor aqui. Vou deixar o link pra você porque, além de linda, de confortável, o preço é incrível.</x:v>
      </x:c>
      <x:c r="F18" s="16" t="str">
        <x:v>Copy falada</x:v>
      </x:c>
      <x:c r="G18" s="16" t="str">
        <x:v>Baixo</x:v>
      </x:c>
    </x:row>
    <x:row r="19">
      <x:c r="A19" s="16" t="n">
        <x:v>18</x:v>
      </x:c>
      <x:c r="B19" s="16" t="str">
        <x:v>​7627542684953038087</x:v>
      </x:c>
      <x:c r="C19" s="16" t="str">
        <x:v>Calça pantalona</x:v>
      </x:c>
      <x:c r="D19" s="16" t="str">
        <x:v>Carrinho</x:v>
      </x:c>
      <x:c r="E19" s="16" t="str">
        <x:v>Se, ah não, tá a forma grande, compra maior, que aí é mais fácil mandar apertado, que comprar o tempo pequeno tem que devolver. E para você comprar, é só você clicar aqui no carrinho laranja. Beijo!</x:v>
      </x:c>
      <x:c r="F19" s="16" t="str">
        <x:v>Copy falada</x:v>
      </x:c>
      <x:c r="G19" s="16" t="str">
        <x:v>Baixo</x:v>
      </x:c>
    </x:row>
    <x:row r="20">
      <x:c r="A20" s="16" t="n">
        <x:v>19</x:v>
      </x:c>
      <x:c r="B20" s="16" t="str">
        <x:v>​7628985822221552916</x:v>
      </x:c>
      <x:c r="C20" s="16" t="str">
        <x:v>Calça pantalona</x:v>
      </x:c>
      <x:c r="D20" s="16" t="str">
        <x:v>Link</x:v>
      </x:c>
      <x:c r="E20" s="16" t="str">
        <x:v>O único ajuste que eu vou precisar fazer na perna só, porque ela ficou bem comprida, tá? Amei, gente. Já quero outras cores. Vou estar deixando o link da loja aqui embaixo para você.</x:v>
      </x:c>
      <x:c r="F20" s="16" t="str">
        <x:v>Copy falada</x:v>
      </x:c>
      <x:c r="G20" s="16" t="str">
        <x:v>Baixo</x:v>
      </x:c>
    </x:row>
    <x:row r="21">
      <x:c r="A21" s="16" t="n">
        <x:v>20</x:v>
      </x:c>
      <x:c r="B21" s="16" t="str">
        <x:v>​7634731433747156232</x:v>
      </x:c>
      <x:c r="C21" s="16" t="str">
        <x:v>Calça pantalona</x:v>
      </x:c>
      <x:c r="D21" s="16" t="str">
        <x:v>Recomendação/compra</x:v>
      </x:c>
      <x:c r="E21" s="16" t="str">
        <x:v>está realmente um precinho incrível, vai nessa colinha laranja, dá uma olhada nas cores que tem disponível e já seleciona a sua, porque não dá para perder,</x:v>
      </x:c>
      <x:c r="F21" s="16" t="str">
        <x:v>Copy falada</x:v>
      </x:c>
      <x:c r="G21" s="16" t="str">
        <x:v>Baixo</x:v>
      </x:c>
    </x:row>
    <x:row r="22">
      <x:c r="A22" s="16" t="n">
        <x:v>21</x:v>
      </x:c>
      <x:c r="B22" s="16" t="str">
        <x:v>​7645009188519054610</x:v>
      </x:c>
      <x:c r="C22" s="16" t="str">
        <x:v>Calça pantalona</x:v>
      </x:c>
      <x:c r="D22" s="16" t="str">
        <x:v>Sem CTA explícito</x:v>
      </x:c>
      <x:c r="E22" s="16" t="str"/>
      <x:c r="F22" s="16" t="str">
        <x:v>Copy falada</x:v>
      </x:c>
      <x:c r="G22" s="16" t="str">
        <x:v>Baixo</x:v>
      </x:c>
    </x:row>
    <x:row r="23">
      <x:c r="A23" s="16" t="n">
        <x:v>22</x:v>
      </x:c>
      <x:c r="B23" s="16" t="str">
        <x:v>​7652139665813687573</x:v>
      </x:c>
      <x:c r="C23" s="16" t="str">
        <x:v>Calça pantalona</x:v>
      </x:c>
      <x:c r="D23" s="16" t="str">
        <x:v>Urgência condicional</x:v>
      </x:c>
      <x:c r="E23" s="16" t="str">
        <x:v>pouquíssimo então corre no carrinho laranja que eu vou deixar aqui pra qualquer ocasião tá não perde tempo vai no carrinho laranja amiga e garanta</x:v>
      </x:c>
      <x:c r="F23" s="16" t="str">
        <x:v>Copy falada</x:v>
      </x:c>
      <x:c r="G23" s="16" t="str">
        <x:v>Moderado</x:v>
      </x:c>
    </x:row>
    <x:row r="24">
      <x:c r="A24" s="16" t="n">
        <x:v>23</x:v>
      </x:c>
      <x:c r="B24" s="16" t="str">
        <x:v>​7657650510194871572</x:v>
      </x:c>
      <x:c r="C24" s="16" t="str">
        <x:v>Calça pantalona</x:v>
      </x:c>
      <x:c r="D24" s="16" t="str">
        <x:v>Carrinho</x:v>
      </x:c>
      <x:c r="E24" s="16" t="str">
        <x:v>Tem várias cores e tamanho aqui no carrinho laranja.</x:v>
      </x:c>
      <x:c r="F24" s="16" t="str">
        <x:v>Copy falada</x:v>
      </x:c>
      <x:c r="G24" s="16" t="str">
        <x:v>Baixo</x:v>
      </x:c>
    </x:row>
    <x:row r="25">
      <x:c r="A25" s="16" t="n">
        <x:v>24</x:v>
      </x:c>
      <x:c r="B25" s="16" t="str">
        <x:v>​7658078417153248532</x:v>
      </x:c>
      <x:c r="C25" s="16" t="str">
        <x:v>Calça pantalona</x:v>
      </x:c>
      <x:c r="D25" s="16" t="str">
        <x:v>Sem CTA explícito</x:v>
      </x:c>
      <x:c r="E25" s="16" t="str"/>
      <x:c r="F25" s="16" t="str">
        <x:v>Copy falada</x:v>
      </x:c>
      <x:c r="G25" s="16" t="str">
        <x:v>Baixo</x:v>
      </x:c>
    </x:row>
    <x:row r="26">
      <x:c r="A26" s="16" t="n">
        <x:v>25</x:v>
      </x:c>
      <x:c r="B26" s="16" t="str">
        <x:v>​7658266454617361671</x:v>
      </x:c>
      <x:c r="C26" s="16" t="str">
        <x:v>Calça pantalona</x:v>
      </x:c>
      <x:c r="D26" s="16" t="str">
        <x:v>Sem CTA explícito</x:v>
      </x:c>
      <x:c r="E26" s="16" t="str"/>
      <x:c r="F26" s="16" t="str">
        <x:v>Copy falada</x:v>
      </x:c>
      <x:c r="G26" s="16" t="str">
        <x:v>Moderado</x:v>
      </x:c>
    </x:row>
    <x:row r="27">
      <x:c r="A27" s="16" t="n">
        <x:v>26</x:v>
      </x:c>
      <x:c r="B27" s="16" t="str">
        <x:v>​7661821903820049685</x:v>
      </x:c>
      <x:c r="C27" s="16" t="str">
        <x:v>Calça pantalona</x:v>
      </x:c>
      <x:c r="D27" s="16" t="str">
        <x:v>Carrinho</x:v>
      </x:c>
      <x:c r="E27" s="16" t="str">
        <x:v>Aqui no carrinho laranja tem várias cores e tamanho.</x:v>
      </x:c>
      <x:c r="F27" s="16" t="str">
        <x:v>Copy falada</x:v>
      </x:c>
      <x:c r="G27" s="16" t="str">
        <x:v>Baixo</x:v>
      </x:c>
    </x:row>
    <x:row r="28">
      <x:c r="A28" s="16" t="n">
        <x:v>27</x:v>
      </x:c>
      <x:c r="B28" s="16" t="str">
        <x:v>​7663238670257868039</x:v>
      </x:c>
      <x:c r="C28" s="16" t="str">
        <x:v>Calça pantalona</x:v>
      </x:c>
      <x:c r="D28" s="16" t="str">
        <x:v>Sem CTA explícito</x:v>
      </x:c>
      <x:c r="E28" s="16" t="str"/>
      <x:c r="F28" s="16" t="str">
        <x:v>Sem copy falada</x:v>
      </x:c>
      <x:c r="G28" s="16" t="str">
        <x:v>Baixo</x:v>
      </x:c>
    </x:row>
    <x:row r="29">
      <x:c r="A29" s="16" t="n">
        <x:v>28</x:v>
      </x:c>
      <x:c r="B29" s="16" t="str">
        <x:v>​7663556817318006023</x:v>
      </x:c>
      <x:c r="C29" s="16" t="str">
        <x:v>Calça pantalona</x:v>
      </x:c>
      <x:c r="D29" s="16" t="str">
        <x:v>Urgência condicional</x:v>
      </x:c>
      <x:c r="E29" s="16" t="str">
        <x:v>Eu vou deixar o link aí, porque essa lógica que eu encontrei beche até o G3, amiga, até o tamanho pulsar. Então você já corre pra você garantir a sua.</x:v>
      </x:c>
      <x:c r="F29" s="16" t="str">
        <x:v>Copy falada</x:v>
      </x:c>
      <x:c r="G29" s="16" t="str">
        <x:v>Moderado</x:v>
      </x:c>
    </x:row>
    <x:row r="30">
      <x:c r="A30" s="16" t="n">
        <x:v>29</x:v>
      </x:c>
      <x:c r="B30" s="16" t="str">
        <x:v>​7665004158394666248</x:v>
      </x:c>
      <x:c r="C30" s="16" t="str">
        <x:v>Calça pantalona</x:v>
      </x:c>
      <x:c r="D30" s="16" t="str">
        <x:v>Urgência condicional</x:v>
      </x:c>
      <x:c r="E30" s="16" t="str">
        <x:v>Deixa o link aqui, pra você já correr, garantia a sua.</x:v>
      </x:c>
      <x:c r="F30" s="16" t="str">
        <x:v>Copy falada</x:v>
      </x:c>
      <x:c r="G30" s="16" t="str">
        <x:v>Moderado</x:v>
      </x:c>
    </x:row>
    <x:row r="31">
      <x:c r="A31" s="16" t="n">
        <x:v>30</x:v>
      </x:c>
      <x:c r="B31" s="16" t="str">
        <x:v>​7665421947328630023</x:v>
      </x:c>
      <x:c r="C31" s="16" t="str">
        <x:v>Calça pantalona</x:v>
      </x:c>
      <x:c r="D31" s="16" t="str">
        <x:v>Urgência condicional</x:v>
      </x:c>
      <x:c r="E31" s="16" t="str">
        <x:v>Amiga, corre, porque ela tá em alfetaria.</x:v>
      </x:c>
      <x:c r="F31" s="16" t="str">
        <x:v>Copy falada</x:v>
      </x:c>
      <x:c r="G31" s="16" t="str">
        <x:v>Baixo</x:v>
      </x:c>
    </x:row>
    <x:row r="32">
      <x:c r="A32" s="16" t="n">
        <x:v>31</x:v>
      </x:c>
      <x:c r="B32" s="16" t="str">
        <x:v>​7665500601802870037</x:v>
      </x:c>
      <x:c r="C32" s="16" t="str">
        <x:v>Calça pantalona</x:v>
      </x:c>
      <x:c r="D32" s="16" t="str">
        <x:v>Comentário/assistência</x:v>
      </x:c>
      <x:c r="E32" s="16" t="str">
        <x:v>Aqui no carrinho laranja tem várias cores e tamanho, mas qualquer dúvida, deixe nos comentários que eu te ajudo.</x:v>
      </x:c>
      <x:c r="F32" s="16" t="str">
        <x:v>Copy falada</x:v>
      </x:c>
      <x:c r="G32" s="16" t="str">
        <x:v>Baixo</x:v>
      </x:c>
    </x:row>
    <x:row r="33">
      <x:c r="A33" s="16" t="n">
        <x:v>32</x:v>
      </x:c>
      <x:c r="B33" s="16" t="str">
        <x:v>​7666837036673879304</x:v>
      </x:c>
      <x:c r="C33" s="16" t="str">
        <x:v>Calça pantalona</x:v>
      </x:c>
      <x:c r="D33" s="16" t="str">
        <x:v>Carrinho</x:v>
      </x:c>
      <x:c r="E33" s="16" t="str">
        <x:v>tem várias cores, tá? Então já dá uma olhadinha aqui no carrinho laranja, olha só meninas, que super lindã, e garanta a calça de vocês, porque meninas, ela está no preço maravilhoso, viu?</x:v>
      </x:c>
      <x:c r="F33" s="16" t="str">
        <x:v>Copy falada</x:v>
      </x:c>
      <x:c r="G33" s="16" t="str">
        <x:v>Baixo</x:v>
      </x:c>
    </x:row>
    <x:row r="34">
      <x:c r="A34" s="16" t="n">
        <x:v>33</x:v>
      </x:c>
      <x:c r="B34" s="16" t="str">
        <x:v>​7666948943414136082</x:v>
      </x:c>
      <x:c r="C34" s="16" t="str">
        <x:v>Calça pantalona</x:v>
      </x:c>
      <x:c r="D34" s="16" t="str">
        <x:v>Link</x:v>
      </x:c>
      <x:c r="E34" s="16" t="str">
        <x:v>Tchau, link que é isso de acordes pra você garantir açúcar.</x:v>
      </x:c>
      <x:c r="F34" s="16" t="str">
        <x:v>Copy falada</x:v>
      </x:c>
      <x:c r="G34" s="16" t="str">
        <x:v>Moderado</x:v>
      </x:c>
    </x:row>
    <x:row r="35">
      <x:c r="A35" s="16" t="n">
        <x:v>34</x:v>
      </x:c>
      <x:c r="B35" s="16" t="str">
        <x:v>​7667633710447136008</x:v>
      </x:c>
      <x:c r="C35" s="16" t="str">
        <x:v>Calça pantalona</x:v>
      </x:c>
      <x:c r="D35" s="16" t="str">
        <x:v>Link</x:v>
      </x:c>
      <x:c r="E35" s="16" t="str">
        <x:v>Vou deixar o link aqui para você garantir a sua.</x:v>
      </x:c>
      <x:c r="F35" s="16" t="str">
        <x:v>Copy falada</x:v>
      </x:c>
      <x:c r="G35" s="16" t="str">
        <x:v>Moderado</x:v>
      </x:c>
    </x:row>
    <x:row r="36">
      <x:c r="A36" s="16" t="n">
        <x:v>35</x:v>
      </x:c>
      <x:c r="B36" s="16" t="str">
        <x:v>​7668272560206794002</x:v>
      </x:c>
      <x:c r="C36" s="16" t="str">
        <x:v>Calça pantalona</x:v>
      </x:c>
      <x:c r="D36" s="16" t="str">
        <x:v>Link</x:v>
      </x:c>
      <x:c r="E36" s="16" t="str">
        <x:v>Vou deixar o link aí e ela custa menos 70 reais, tá? Vou deixar o link aí para você garantir a sua.</x:v>
      </x:c>
      <x:c r="F36" s="16" t="str">
        <x:v>Copy falada</x:v>
      </x:c>
      <x:c r="G36" s="16" t="str">
        <x:v>Moderado</x:v>
      </x:c>
    </x:row>
    <x:row r="37">
      <x:c r="A37" s="16" t="n">
        <x:v>36</x:v>
      </x:c>
      <x:c r="B37" s="16" t="str">
        <x:v>​7668776822292712724</x:v>
      </x:c>
      <x:c r="C37" s="16" t="str">
        <x:v>Calça pantalona</x:v>
      </x:c>
      <x:c r="D37" s="16" t="str">
        <x:v>Link</x:v>
      </x:c>
      <x:c r="E37" s="16" t="str">
        <x:v>Se eu fosse você, clicava no link para adquirir a sua.</x:v>
      </x:c>
      <x:c r="F37" s="16" t="str">
        <x:v>Copy falada</x:v>
      </x:c>
      <x:c r="G37" s="16" t="str">
        <x:v>Baixo</x:v>
      </x:c>
    </x:row>
    <x:row r="38">
      <x:c r="A38" s="16" t="n">
        <x:v>37</x:v>
      </x:c>
      <x:c r="B38" s="16" t="str">
        <x:v>​7656174686430154005</x:v>
      </x:c>
      <x:c r="C38" s="16" t="str">
        <x:v>Camisola</x:v>
      </x:c>
      <x:c r="D38" s="16" t="str">
        <x:v>Carrinho</x:v>
      </x:c>
      <x:c r="E38" s="16" t="str">
        <x:v>Tudo isso por esse valorzinho que eu deixei aqui nesse carrinho laranja.</x:v>
      </x:c>
      <x:c r="F38" s="16" t="str">
        <x:v>Copy falada</x:v>
      </x:c>
      <x:c r="G38" s="16" t="str">
        <x:v>Moderado</x:v>
      </x:c>
    </x:row>
    <x:row r="39">
      <x:c r="A39" s="16" t="n">
        <x:v>38</x:v>
      </x:c>
      <x:c r="B39" s="16" t="str">
        <x:v>​7621919530511650068</x:v>
      </x:c>
      <x:c r="C39" s="16" t="str">
        <x:v>Cinta modeladora</x:v>
      </x:c>
      <x:c r="D39" s="16" t="str">
        <x:v>Sem CTA explícito</x:v>
      </x:c>
      <x:c r="E39" s="16" t="str">
        <x:v>Sem CTA explícito no relatório.</x:v>
      </x:c>
      <x:c r="F39" s="16" t="str">
        <x:v>Resumo estruturado; copy literal indisponível</x:v>
      </x:c>
      <x:c r="G39" s="16" t="str">
        <x:v>Alto</x:v>
      </x:c>
    </x:row>
    <x:row r="40">
      <x:c r="A40" s="16" t="n">
        <x:v>39</x:v>
      </x:c>
      <x:c r="B40" s="16" t="str">
        <x:v>​7647264597598113044</x:v>
      </x:c>
      <x:c r="C40" s="16" t="str">
        <x:v>Cinta modeladora</x:v>
      </x:c>
      <x:c r="D40" s="16" t="str">
        <x:v>Link</x:v>
      </x:c>
      <x:c r="E40" s="16" t="str">
        <x:v>Direciona ao link do produto.</x:v>
      </x:c>
      <x:c r="F40" s="16" t="str">
        <x:v>Resumo estruturado; copy literal indisponível</x:v>
      </x:c>
      <x:c r="G40" s="16" t="str">
        <x:v>Moderado</x:v>
      </x:c>
    </x:row>
    <x:row r="41">
      <x:c r="A41" s="16" t="n">
        <x:v>40</x:v>
      </x:c>
      <x:c r="B41" s="16" t="str">
        <x:v>​7653117812482919688</x:v>
      </x:c>
      <x:c r="C41" s="16" t="str">
        <x:v>Cinta modeladora</x:v>
      </x:c>
      <x:c r="D41" s="16" t="str">
        <x:v>Sem CTA explícito</x:v>
      </x:c>
      <x:c r="E41" s="16" t="str">
        <x:v>Sem CTA falado; conversão apoiada pela demonstração.</x:v>
      </x:c>
      <x:c r="F41" s="16" t="str">
        <x:v>Sem copy falada; texto visual estruturado</x:v>
      </x:c>
      <x:c r="G41" s="16" t="str">
        <x:v>Baixo</x:v>
      </x:c>
    </x:row>
    <x:row r="42">
      <x:c r="A42" s="16" t="n">
        <x:v>41</x:v>
      </x:c>
      <x:c r="B42" s="16" t="str">
        <x:v>​7653487619380202772</x:v>
      </x:c>
      <x:c r="C42" s="16" t="str">
        <x:v>Cinta modeladora</x:v>
      </x:c>
      <x:c r="D42" s="16" t="str">
        <x:v>Carrinho</x:v>
      </x:c>
      <x:c r="E42" s="16" t="str">
        <x:v>Direciona ao carrinho e recomenda a compra.</x:v>
      </x:c>
      <x:c r="F42" s="16" t="str">
        <x:v>Resumo estruturado; copy literal indisponível</x:v>
      </x:c>
      <x:c r="G42" s="16" t="str">
        <x:v>Alto</x:v>
      </x:c>
    </x:row>
    <x:row r="43">
      <x:c r="A43" s="16" t="n">
        <x:v>42</x:v>
      </x:c>
      <x:c r="B43" s="16" t="str">
        <x:v>​7655419776734334228</x:v>
      </x:c>
      <x:c r="C43" s="16" t="str">
        <x:v>Cinta modeladora</x:v>
      </x:c>
      <x:c r="D43" s="16" t="str">
        <x:v>Carrinho</x:v>
      </x:c>
      <x:c r="E43" s="16" t="str">
        <x:v>Recomenda o produto e direciona ao carrinho.</x:v>
      </x:c>
      <x:c r="F43" s="16" t="str">
        <x:v>Resumo estruturado; copy literal indisponível</x:v>
      </x:c>
      <x:c r="G43" s="16" t="str">
        <x:v>Alto</x:v>
      </x:c>
    </x:row>
    <x:row r="44">
      <x:c r="A44" s="16" t="n">
        <x:v>43</x:v>
      </x:c>
      <x:c r="B44" s="16" t="str">
        <x:v>​7660243292377959687</x:v>
      </x:c>
      <x:c r="C44" s="16" t="str">
        <x:v>Cinta modeladora</x:v>
      </x:c>
      <x:c r="D44" s="16" t="str">
        <x:v>Comentário/assistência</x:v>
      </x:c>
      <x:c r="E44" s="16" t="str">
        <x:v>Convida a comentar dúvidas sobre tamanho.</x:v>
      </x:c>
      <x:c r="F44" s="16" t="str">
        <x:v>Resumo estruturado; copy literal indisponível</x:v>
      </x:c>
      <x:c r="G44" s="16" t="str">
        <x:v>Moderado</x:v>
      </x:c>
    </x:row>
    <x:row r="45">
      <x:c r="A45" s="16" t="n">
        <x:v>44</x:v>
      </x:c>
      <x:c r="B45" s="16" t="str">
        <x:v>​7663742403920022802</x:v>
      </x:c>
      <x:c r="C45" s="16" t="str">
        <x:v>Cinta modeladora</x:v>
      </x:c>
      <x:c r="D45" s="16" t="str">
        <x:v>Sem CTA explícito</x:v>
      </x:c>
      <x:c r="E45" s="16" t="str">
        <x:v>Sem CTA falado.</x:v>
      </x:c>
      <x:c r="F45" s="16" t="str">
        <x:v>Sem copy falada; texto visual estruturado</x:v>
      </x:c>
      <x:c r="G45" s="16" t="str">
        <x:v>Alto</x:v>
      </x:c>
    </x:row>
    <x:row r="46">
      <x:c r="A46" s="16" t="n">
        <x:v>45</x:v>
      </x:c>
      <x:c r="B46" s="16" t="str">
        <x:v>​7666099558031609095</x:v>
      </x:c>
      <x:c r="C46" s="16" t="str">
        <x:v>Cinta modeladora</x:v>
      </x:c>
      <x:c r="D46" s="16" t="str">
        <x:v>Carrinho</x:v>
      </x:c>
      <x:c r="E46" s="16" t="str">
        <x:v>Direciona ao carrinho.</x:v>
      </x:c>
      <x:c r="F46" s="16" t="str">
        <x:v>Resumo estruturado; copy literal indisponível</x:v>
      </x:c>
      <x:c r="G46" s="16" t="str">
        <x:v>Baixo</x:v>
      </x:c>
    </x:row>
    <x:row r="47">
      <x:c r="A47" s="16" t="n">
        <x:v>46</x:v>
      </x:c>
      <x:c r="B47" s="16" t="str">
        <x:v>​7666990429929278740</x:v>
      </x:c>
      <x:c r="C47" s="16" t="str">
        <x:v>Cinta modeladora</x:v>
      </x:c>
      <x:c r="D47" s="16" t="str">
        <x:v>Recomendação/compra</x:v>
      </x:c>
      <x:c r="E47" s="16" t="str">
        <x:v>Recomenda a compra.</x:v>
      </x:c>
      <x:c r="F47" s="16" t="str">
        <x:v>Resumo estruturado; copy literal indisponível</x:v>
      </x:c>
      <x:c r="G47" s="16" t="str">
        <x:v>Moderado</x:v>
      </x:c>
    </x:row>
    <x:row r="48">
      <x:c r="A48" s="16" t="n">
        <x:v>47</x:v>
      </x:c>
      <x:c r="B48" s="16" t="str">
        <x:v>​7667944020026346772</x:v>
      </x:c>
      <x:c r="C48" s="16" t="str">
        <x:v>Cinta modeladora</x:v>
      </x:c>
      <x:c r="D48" s="16" t="str">
        <x:v>Recomendação/compra</x:v>
      </x:c>
      <x:c r="E48" s="16" t="str">
        <x:v>Recomendação implícita pela surpresa com o preço.</x:v>
      </x:c>
      <x:c r="F48" s="16" t="str">
        <x:v>Resumo estruturado; copy literal indisponível</x:v>
      </x:c>
      <x:c r="G48" s="16" t="str">
        <x:v>Alto</x:v>
      </x:c>
    </x:row>
    <x:row r="49">
      <x:c r="A49" s="16" t="n">
        <x:v>48</x:v>
      </x:c>
      <x:c r="B49" s="16" t="str">
        <x:v>​7669558622136978696</x:v>
      </x:c>
      <x:c r="C49" s="16" t="str">
        <x:v>Conjunto feminino</x:v>
      </x:c>
      <x:c r="D49" s="16" t="str">
        <x:v>Carrinho</x:v>
      </x:c>
      <x:c r="E49" s="16" t="str">
        <x:v>Clica no carrinho, clica no carrinho e garante o seu.</x:v>
      </x:c>
      <x:c r="F49" s="16" t="str">
        <x:v>Copy falada</x:v>
      </x:c>
      <x:c r="G49" s="16" t="str">
        <x:v>Baixo</x:v>
      </x:c>
    </x:row>
    <x:row r="50">
      <x:c r="A50" s="16" t="n">
        <x:v>49</x:v>
      </x:c>
      <x:c r="B50" s="16" t="str">
        <x:v>​7651252361238695186</x:v>
      </x:c>
      <x:c r="C50" s="16" t="str">
        <x:v>Descascador de frutas e legumes</x:v>
      </x:c>
      <x:c r="D50" s="16" t="str">
        <x:v>Recomendação/compra</x:v>
      </x:c>
      <x:c r="E50" s="16" t="str">
        <x:v>Os cem primeiros que comprarem recebem frete gratis.</x:v>
      </x:c>
      <x:c r="F50" s="16" t="str">
        <x:v>Copy falada</x:v>
      </x:c>
      <x:c r="G50" s="16" t="str">
        <x:v>Baixo</x:v>
      </x:c>
    </x:row>
    <x:row r="51">
      <x:c r="A51" s="16" t="n">
        <x:v>50</x:v>
      </x:c>
      <x:c r="B51" s="16" t="str">
        <x:v>​7650992235663641874</x:v>
      </x:c>
      <x:c r="C51" s="16" t="str">
        <x:v>Fatiador/cortador de legumes</x:v>
      </x:c>
      <x:c r="D51" s="16" t="str">
        <x:v>Sem CTA explícito</x:v>
      </x:c>
      <x:c r="E51" s="16" t="str"/>
      <x:c r="F51" s="16" t="str">
        <x:v>Sem copy falada</x:v>
      </x:c>
      <x:c r="G51" s="16" t="str">
        <x:v>Baixo</x:v>
      </x:c>
    </x:row>
    <x:row r="52">
      <x:c r="A52" s="16" t="n">
        <x:v>51</x:v>
      </x:c>
      <x:c r="B52" s="16" t="str">
        <x:v>​7651690187260546324</x:v>
      </x:c>
      <x:c r="C52" s="16" t="str">
        <x:v>Fatiador/cortador de legumes</x:v>
      </x:c>
      <x:c r="D52" s="16" t="str">
        <x:v>Sem CTA explícito</x:v>
      </x:c>
      <x:c r="E52" s="16" t="str"/>
      <x:c r="F52" s="16" t="str">
        <x:v>Sem copy falada</x:v>
      </x:c>
      <x:c r="G52" s="16" t="str">
        <x:v>Baixo</x:v>
      </x:c>
    </x:row>
    <x:row r="53">
      <x:c r="A53" s="16" t="n">
        <x:v>52</x:v>
      </x:c>
      <x:c r="B53" s="16" t="str">
        <x:v>​7652124032891981064</x:v>
      </x:c>
      <x:c r="C53" s="16" t="str">
        <x:v>Fatiador/cortador de legumes</x:v>
      </x:c>
      <x:c r="D53" s="16" t="str">
        <x:v>Sem CTA explícito</x:v>
      </x:c>
      <x:c r="E53" s="16" t="str"/>
      <x:c r="F53" s="16" t="str">
        <x:v>Sem copy falada</x:v>
      </x:c>
      <x:c r="G53" s="16" t="str">
        <x:v>Baixo</x:v>
      </x:c>
    </x:row>
    <x:row r="54">
      <x:c r="A54" s="16" t="n">
        <x:v>53</x:v>
      </x:c>
      <x:c r="B54" s="16" t="str">
        <x:v>​7654105916635221269</x:v>
      </x:c>
      <x:c r="C54" s="16" t="str">
        <x:v>Fatiador/cortador de legumes</x:v>
      </x:c>
      <x:c r="D54" s="16" t="str">
        <x:v>Carrinho</x:v>
      </x:c>
      <x:c r="E54" s="16" t="str">
        <x:v>Clica aqui no carrinho laranja.</x:v>
      </x:c>
      <x:c r="F54" s="16" t="str">
        <x:v>Copy falada</x:v>
      </x:c>
      <x:c r="G54" s="16" t="str">
        <x:v>Moderado</x:v>
      </x:c>
    </x:row>
    <x:row r="55">
      <x:c r="A55" s="16" t="n">
        <x:v>54</x:v>
      </x:c>
      <x:c r="B55" s="16" t="str">
        <x:v>​7654161058545913096</x:v>
      </x:c>
      <x:c r="C55" s="16" t="str">
        <x:v>Fatiador/cortador de legumes</x:v>
      </x:c>
      <x:c r="D55" s="16" t="str">
        <x:v>Recomendação/compra</x:v>
      </x:c>
      <x:c r="E55" s="16" t="str">
        <x:v>Nao perca, garanta ja o seu.</x:v>
      </x:c>
      <x:c r="F55" s="16" t="str">
        <x:v>Copy falada</x:v>
      </x:c>
      <x:c r="G55" s="16" t="str">
        <x:v>Baixo</x:v>
      </x:c>
    </x:row>
    <x:row r="56">
      <x:c r="A56" s="16" t="n">
        <x:v>55</x:v>
      </x:c>
      <x:c r="B56" s="16" t="str">
        <x:v>​7654230036014206229</x:v>
      </x:c>
      <x:c r="C56" s="16" t="str">
        <x:v>Fatiador/cortador de legumes</x:v>
      </x:c>
      <x:c r="D56" s="16" t="str">
        <x:v>Carrinho</x:v>
      </x:c>
      <x:c r="E56" s="16" t="str">
        <x:v>Clica aqui no carrinho laranja.</x:v>
      </x:c>
      <x:c r="F56" s="16" t="str">
        <x:v>Copy falada</x:v>
      </x:c>
      <x:c r="G56" s="16" t="str">
        <x:v>Moderado</x:v>
      </x:c>
    </x:row>
    <x:row r="57">
      <x:c r="A57" s="16" t="n">
        <x:v>56</x:v>
      </x:c>
      <x:c r="B57" s="16" t="str">
        <x:v>​7655920266190703892</x:v>
      </x:c>
      <x:c r="C57" s="16" t="str">
        <x:v>Fatiador/cortador de legumes</x:v>
      </x:c>
      <x:c r="D57" s="16" t="str">
        <x:v>Sem CTA explícito</x:v>
      </x:c>
      <x:c r="E57" s="16" t="str"/>
      <x:c r="F57" s="16" t="str">
        <x:v>Sem copy falada</x:v>
      </x:c>
      <x:c r="G57" s="16" t="str">
        <x:v>Baixo</x:v>
      </x:c>
    </x:row>
    <x:row r="58">
      <x:c r="A58" s="16" t="n">
        <x:v>57</x:v>
      </x:c>
      <x:c r="B58" s="16" t="str">
        <x:v>​7656130920914734344</x:v>
      </x:c>
      <x:c r="C58" s="16" t="str">
        <x:v>Fatiador/cortador de legumes</x:v>
      </x:c>
      <x:c r="D58" s="16" t="str">
        <x:v>Carrinho</x:v>
      </x:c>
      <x:c r="E58" s="16" t="str">
        <x:v>Teste ao vivo, vou deixar o link no carrinho la, ne? Se voce quiser.</x:v>
      </x:c>
      <x:c r="F58" s="16" t="str">
        <x:v>Copy falada</x:v>
      </x:c>
      <x:c r="G58" s="16" t="str">
        <x:v>Baixo</x:v>
      </x:c>
    </x:row>
    <x:row r="59">
      <x:c r="A59" s="16" t="n">
        <x:v>58</x:v>
      </x:c>
      <x:c r="B59" s="16" t="str">
        <x:v>​7656442067308104980</x:v>
      </x:c>
      <x:c r="C59" s="16" t="str">
        <x:v>Fatiador/cortador de legumes</x:v>
      </x:c>
      <x:c r="D59" s="16" t="str">
        <x:v>Sem CTA explícito</x:v>
      </x:c>
      <x:c r="E59" s="16" t="str"/>
      <x:c r="F59" s="16" t="str">
        <x:v>Sem copy falada</x:v>
      </x:c>
      <x:c r="G59" s="16" t="str">
        <x:v>Baixo</x:v>
      </x:c>
    </x:row>
    <x:row r="60">
      <x:c r="A60" s="16" t="n">
        <x:v>59</x:v>
      </x:c>
      <x:c r="B60" s="16" t="str">
        <x:v>​7657719918648986901</x:v>
      </x:c>
      <x:c r="C60" s="16" t="str">
        <x:v>Fatiador/cortador de legumes</x:v>
      </x:c>
      <x:c r="D60" s="16" t="str">
        <x:v>Recomendação/compra</x:v>
      </x:c>
      <x:c r="E60" s="16" t="str">
        <x:v>Facil de usar e limpar. Garanta ja o seu.</x:v>
      </x:c>
      <x:c r="F60" s="16" t="str">
        <x:v>Copy falada</x:v>
      </x:c>
      <x:c r="G60" s="16" t="str">
        <x:v>Baixo</x:v>
      </x:c>
    </x:row>
    <x:row r="61">
      <x:c r="A61" s="16" t="n">
        <x:v>60</x:v>
      </x:c>
      <x:c r="B61" s="16" t="str">
        <x:v>​7642134681743379733</x:v>
      </x:c>
      <x:c r="C61" s="16" t="str">
        <x:v>Kit de body splashes masculinos</x:v>
      </x:c>
      <x:c r="D61" s="16" t="str">
        <x:v>Urgência condicional</x:v>
      </x:c>
      <x:c r="E61" s="16" t="str">
        <x:v>Aproveite agora e garanto seu antes que acabe.</x:v>
      </x:c>
      <x:c r="F61" s="16" t="str">
        <x:v>Copy falada</x:v>
      </x:c>
      <x:c r="G61" s="16" t="str">
        <x:v>Moderado</x:v>
      </x:c>
    </x:row>
    <x:row r="62">
      <x:c r="A62" s="16" t="n">
        <x:v>61</x:v>
      </x:c>
      <x:c r="B62" s="16" t="str">
        <x:v>​7643551744722521365</x:v>
      </x:c>
      <x:c r="C62" s="16" t="str">
        <x:v>Kit de body splashes masculinos</x:v>
      </x:c>
      <x:c r="D62" s="16" t="str">
        <x:v>Urgência condicional</x:v>
      </x:c>
      <x:c r="E62" s="16" t="str">
        <x:v>Se o carrinho ainda tiver aí, aproveita antes que acabe.</x:v>
      </x:c>
      <x:c r="F62" s="16" t="str">
        <x:v>Copy falada</x:v>
      </x:c>
      <x:c r="G62" s="16" t="str">
        <x:v>Moderado</x:v>
      </x:c>
    </x:row>
    <x:row r="63">
      <x:c r="A63" s="16" t="n">
        <x:v>62</x:v>
      </x:c>
      <x:c r="B63" s="16" t="str">
        <x:v>​7645283708060175636</x:v>
      </x:c>
      <x:c r="C63" s="16" t="str">
        <x:v>Kit de body splashes masculinos</x:v>
      </x:c>
      <x:c r="D63" s="16" t="str">
        <x:v>Urgência condicional</x:v>
      </x:c>
      <x:c r="E63" s="16" t="str">
        <x:v>Aproveita enquanto ainda aparece a sua oferta.</x:v>
      </x:c>
      <x:c r="F63" s="16" t="str">
        <x:v>Copy falada</x:v>
      </x:c>
      <x:c r="G63" s="16" t="str">
        <x:v>Moderado</x:v>
      </x:c>
    </x:row>
    <x:row r="64">
      <x:c r="A64" s="16" t="n">
        <x:v>63</x:v>
      </x:c>
      <x:c r="B64" s="16" t="str">
        <x:v>​7647862663225085204</x:v>
      </x:c>
      <x:c r="C64" s="16" t="str">
        <x:v>Kit de body splashes masculinos</x:v>
      </x:c>
      <x:c r="D64" s="16" t="str">
        <x:v>Urgência condicional</x:v>
      </x:c>
      <x:c r="E64" s="16" t="str">
        <x:v>Clica agora, aproveito o desconto e...</x:v>
      </x:c>
      <x:c r="F64" s="16" t="str">
        <x:v>Copy falada</x:v>
      </x:c>
      <x:c r="G64" s="16" t="str">
        <x:v>Moderado</x:v>
      </x:c>
    </x:row>
    <x:row r="65">
      <x:c r="A65" s="16" t="n">
        <x:v>64</x:v>
      </x:c>
      <x:c r="B65" s="16" t="str">
        <x:v>​7649047658216148231</x:v>
      </x:c>
      <x:c r="C65" s="16" t="str">
        <x:v>Kit de body splashes masculinos</x:v>
      </x:c>
      <x:c r="D65" s="16" t="str">
        <x:v>Sem CTA explícito</x:v>
      </x:c>
      <x:c r="E65" s="16" t="str"/>
      <x:c r="F65" s="16" t="str">
        <x:v>Copy falada</x:v>
      </x:c>
      <x:c r="G65" s="16" t="str">
        <x:v>Baixo</x:v>
      </x:c>
    </x:row>
    <x:row r="66">
      <x:c r="A66" s="16" t="n">
        <x:v>65</x:v>
      </x:c>
      <x:c r="B66" s="16" t="str">
        <x:v>​7655451196701953300</x:v>
      </x:c>
      <x:c r="C66" s="16" t="str">
        <x:v>Kit de body splashes masculinos</x:v>
      </x:c>
      <x:c r="D66" s="16" t="str">
        <x:v>Link</x:v>
      </x:c>
      <x:c r="E66" s="16" t="str">
        <x:v>O link está aqui.</x:v>
      </x:c>
      <x:c r="F66" s="16" t="str">
        <x:v>Copy falada</x:v>
      </x:c>
      <x:c r="G66" s="16" t="str">
        <x:v>Moderado</x:v>
      </x:c>
    </x:row>
    <x:row r="67">
      <x:c r="A67" s="16" t="n">
        <x:v>66</x:v>
      </x:c>
      <x:c r="B67" s="16" t="str">
        <x:v>​7655814557306326279</x:v>
      </x:c>
      <x:c r="C67" s="16" t="str">
        <x:v>Kit de body splashes masculinos</x:v>
      </x:c>
      <x:c r="D67" s="16" t="str">
        <x:v>Sem CTA explícito</x:v>
      </x:c>
      <x:c r="E67" s="16" t="str"/>
      <x:c r="F67" s="16" t="str">
        <x:v>Copy falada</x:v>
      </x:c>
      <x:c r="G67" s="16" t="str">
        <x:v>Baixo</x:v>
      </x:c>
    </x:row>
    <x:row r="68">
      <x:c r="A68" s="16" t="n">
        <x:v>67</x:v>
      </x:c>
      <x:c r="B68" s="16" t="str">
        <x:v>​7658746614630108436</x:v>
      </x:c>
      <x:c r="C68" s="16" t="str">
        <x:v>Kit de body splashes masculinos</x:v>
      </x:c>
      <x:c r="D68" s="16" t="str">
        <x:v>Urgência condicional</x:v>
      </x:c>
      <x:c r="E68" s="16" t="str">
        <x:v>E pelo valor que está hoje, vale muito a pena aproveitar. Se o carrinho ainda apareceu aí na tela, corre porque acaba rápido.</x:v>
      </x:c>
      <x:c r="F68" s="16" t="str">
        <x:v>Copy falada</x:v>
      </x:c>
      <x:c r="G68" s="16" t="str">
        <x:v>Moderado</x:v>
      </x:c>
    </x:row>
    <x:row r="69">
      <x:c r="A69" s="16" t="n">
        <x:v>68</x:v>
      </x:c>
      <x:c r="B69" s="16" t="str">
        <x:v>​7660560041065368853</x:v>
      </x:c>
      <x:c r="C69" s="16" t="str">
        <x:v>Kit de body splashes masculinos</x:v>
      </x:c>
      <x:c r="D69" s="16" t="str">
        <x:v>Urgência condicional</x:v>
      </x:c>
      <x:c r="E69" s="16" t="str">
        <x:v>Se o carrinho ainda apareceu aí, corre antes da oferta acabar.</x:v>
      </x:c>
      <x:c r="F69" s="16" t="str">
        <x:v>Copy falada</x:v>
      </x:c>
      <x:c r="G69" s="16" t="str">
        <x:v>Moderado</x:v>
      </x:c>
    </x:row>
    <x:row r="70">
      <x:c r="A70" s="16" t="n">
        <x:v>69</x:v>
      </x:c>
      <x:c r="B70" s="16" t="str">
        <x:v>​7668325517308759316</x:v>
      </x:c>
      <x:c r="C70" s="16" t="str">
        <x:v>Kit de body splashes masculinos</x:v>
      </x:c>
      <x:c r="D70" s="16" t="str">
        <x:v>Urgência condicional</x:v>
      </x:c>
      <x:c r="E70" s="16" t="str">
        <x:v>Aproveita enquanto esse preço ainda está aparecendo.</x:v>
      </x:c>
      <x:c r="F70" s="16" t="str">
        <x:v>Copy falada</x:v>
      </x:c>
      <x:c r="G70" s="16" t="str">
        <x:v>Moderado</x:v>
      </x:c>
    </x:row>
    <x:row r="71">
      <x:c r="A71" s="16" t="n">
        <x:v>70</x:v>
      </x:c>
      <x:c r="B71" s="16" t="str">
        <x:v>​7645995437526093077</x:v>
      </x:c>
      <x:c r="C71" s="16" t="str">
        <x:v>Kit de formas de silicone</x:v>
      </x:c>
      <x:c r="D71" s="16" t="str">
        <x:v>Urgência condicional</x:v>
      </x:c>
      <x:c r="E71" s="16" t="str">
        <x:v>Clica no carrinho e aproveita, oferta boa acaba rapido.</x:v>
      </x:c>
      <x:c r="F71" s="16" t="str">
        <x:v>Copy falada</x:v>
      </x:c>
      <x:c r="G71" s="16" t="str">
        <x:v>Moderado</x:v>
      </x:c>
    </x:row>
    <x:row r="72">
      <x:c r="A72" s="16" t="n">
        <x:v>71</x:v>
      </x:c>
      <x:c r="B72" s="16" t="str">
        <x:v>​7646067571699109141</x:v>
      </x:c>
      <x:c r="C72" s="16" t="str">
        <x:v>Kit de formas de silicone</x:v>
      </x:c>
      <x:c r="D72" s="16" t="str">
        <x:v>Urgência condicional</x:v>
      </x:c>
      <x:c r="E72" s="16" t="str">
        <x:v>Corre pro carrinho antes que acabe.</x:v>
      </x:c>
      <x:c r="F72" s="16" t="str">
        <x:v>Copy falada</x:v>
      </x:c>
      <x:c r="G72" s="16" t="str">
        <x:v>Moderado</x:v>
      </x:c>
    </x:row>
    <x:row r="73">
      <x:c r="A73" s="16" t="n">
        <x:v>72</x:v>
      </x:c>
      <x:c r="B73" s="16" t="str">
        <x:v>​7659856458086911253</x:v>
      </x:c>
      <x:c r="C73" s="16" t="str">
        <x:v>Kit de potes</x:v>
      </x:c>
      <x:c r="D73" s="16" t="str">
        <x:v>Urgência condicional</x:v>
      </x:c>
      <x:c r="E73" s="16" t="str">
        <x:v>Clica agora no carrinho laranja e garante o seu antes que o estoque acabe ou o preco suba.</x:v>
      </x:c>
      <x:c r="F73" s="16" t="str">
        <x:v>Copy falada</x:v>
      </x:c>
      <x:c r="G73" s="16" t="str">
        <x:v>Moderado</x:v>
      </x:c>
    </x:row>
    <x:row r="74">
      <x:c r="A74" s="16" t="n">
        <x:v>73</x:v>
      </x:c>
      <x:c r="B74" s="16" t="str">
        <x:v>​7630936938945596680</x:v>
      </x:c>
      <x:c r="C74" s="16" t="str">
        <x:v>Legging fitness</x:v>
      </x:c>
      <x:c r="D74" s="16" t="str">
        <x:v>Urgência condicional</x:v>
      </x:c>
      <x:c r="E74" s="16" t="str">
        <x:v>E olha o tanto que ela fica linda, amigas. Eu comprei duas, a preta e a azul, nesse carrinho laranja. Amigas, ja corre e pega a sua aqui, ta? Porque por esse valor ta um achado.</x:v>
      </x:c>
      <x:c r="F74" s="16" t="str">
        <x:v>Copy falada</x:v>
      </x:c>
      <x:c r="G74" s="16" t="str">
        <x:v>Moderado</x:v>
      </x:c>
    </x:row>
    <x:row r="75">
      <x:c r="A75" s="16" t="n">
        <x:v>74</x:v>
      </x:c>
      <x:c r="B75" s="16" t="str">
        <x:v>​7658416944932064532</x:v>
      </x:c>
      <x:c r="C75" s="16" t="str">
        <x:v>Máquina compacta de pão e bolo</x:v>
      </x:c>
      <x:c r="D75" s="16" t="str">
        <x:v>Carrinho</x:v>
      </x:c>
      <x:c r="E75" s="16" t="str">
        <x:v>Se o carrinho laranja tiver aparecendo pra você, aproveite e garanta a sua.</x:v>
      </x:c>
      <x:c r="F75" s="16" t="str">
        <x:v>Copy falada</x:v>
      </x:c>
      <x:c r="G75" s="16" t="str">
        <x:v>Moderado</x:v>
      </x:c>
    </x:row>
    <x:row r="76">
      <x:c r="A76" s="16" t="n">
        <x:v>75</x:v>
      </x:c>
      <x:c r="B76" s="16" t="str">
        <x:v>​Vd0000001</x:v>
      </x:c>
      <x:c r="C76" s="16" t="str">
        <x:v>Perfume masculino inspirado</x:v>
      </x:c>
      <x:c r="D76" s="16" t="str">
        <x:v>Carrinho</x:v>
      </x:c>
      <x:c r="E76" s="16" t="str">
        <x:v>Ah, peguei. Entao, ta vendo ai nesse carrinho laranja? To, to vendo. Entao, se voce quiser comprar nesse carrinho laranja ai, no valor promocional. Que isso? E so clicar aqui entao que ja compra? Sim. Gostoso o cheiro, ne? Olha o preco, que bom. Ja compra dois, ta? Porque eu quero dar um pro meu namorado tambem. Nossa, que bom que voces gostaram. Ah, obrigada pela dica. Muito bom.</x:v>
      </x:c>
      <x:c r="F76" s="16" t="str">
        <x:v>Copy falada</x:v>
      </x:c>
      <x:c r="G76" s="16" t="str">
        <x:v>Moderado</x:v>
      </x:c>
    </x:row>
  </x:sheetData>
  <x:pageMargins left="0.7" right="0.7" top="0.75" bottom="0.75" header="0.3" footer="0.3"/>
  <x:tableParts count="1">
    <x:tablePart xmlns:r="http://schemas.openxmlformats.org/officeDocument/2006/relationships" r:id="Ref4faf0ef687446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s>
  <x:sheetData>
    <x:row r="1">
      <x:c r="A1" s="53" t="str">
        <x:v>Playbook de adaptação para qualquer produto</x:v>
      </x:c>
      <x:c r="B1" s="53"/>
      <x:c r="C1" s="53"/>
      <x:c r="D1" s="53"/>
      <x:c r="E1" s="53"/>
      <x:c r="F1" s="53"/>
    </x:row>
    <x:row r="2">
      <x:c r="A2" s="53"/>
      <x:c r="B2" s="53"/>
      <x:c r="C2" s="53"/>
      <x:c r="D2" s="53"/>
      <x:c r="E2" s="53"/>
      <x:c r="F2" s="53"/>
    </x:row>
    <x:row r="3">
      <x:c r="A3" s="55"/>
      <x:c r="B3" s="55"/>
      <x:c r="C3" s="55"/>
      <x:c r="D3" s="55"/>
      <x:c r="E3" s="55"/>
      <x:c r="F3" s="55"/>
    </x:row>
    <x:row r="4">
      <x:c r="A4" s="13" t="str">
        <x:v>Família de hook</x:v>
      </x:c>
      <x:c r="B4" s="14" t="str">
        <x:v>Fórmula</x:v>
      </x:c>
      <x:c r="C4" s="15" t="str">
        <x:v>Quando usar</x:v>
      </x:c>
      <x:c r="D4" s="55"/>
      <x:c r="E4" s="55"/>
      <x:c r="F4" s="55"/>
    </x:row>
    <x:row r="5">
      <x:c r="A5" s="16" t="str">
        <x:v>Preço impossível</x:v>
      </x:c>
      <x:c r="B5" s="16" t="str">
        <x:v>[QUANTIDADE/PRODUTO] por menos de [PREÇO]? Eu achei que era pegadinha.</x:v>
      </x:c>
      <x:c r="C5" s="16" t="str">
        <x:v>Oferta direta; melhor quando preço e quantidade estão confirmados.</x:v>
      </x:c>
      <x:c r="D5" s="55"/>
      <x:c r="E5" s="55"/>
      <x:c r="F5" s="55"/>
    </x:row>
    <x:row r="6">
      <x:c r="A6" s="16" t="str">
        <x:v>Confissão de compra</x:v>
      </x:c>
      <x:c r="B6" s="16" t="str">
        <x:v>Eu vi todo mundo falando de [PRODUTO] e tive que testar.</x:v>
      </x:c>
      <x:c r="C6" s="16" t="str">
        <x:v>Gera identificação sem depender de superlativo.</x:v>
      </x:c>
      <x:c r="D6" s="55"/>
      <x:c r="E6" s="55"/>
      <x:c r="F6" s="55"/>
    </x:row>
    <x:row r="7">
      <x:c r="A7" s="16" t="str">
        <x:v>Problema cotidiano</x:v>
      </x:c>
      <x:c r="B7" s="16" t="str">
        <x:v>Desde que comprei [PRODUTO], parei de [TAREFA CHATA].</x:v>
      </x:c>
      <x:c r="C7" s="16" t="str">
        <x:v>Abre com transformação concreta de rotina.</x:v>
      </x:c>
      <x:c r="D7" s="55"/>
      <x:c r="E7" s="55"/>
      <x:c r="F7" s="55"/>
    </x:row>
    <x:row r="8">
      <x:c r="A8" s="16" t="str">
        <x:v>Pergunta visual</x:v>
      </x:c>
      <x:c r="B8" s="16" t="str">
        <x:v>Quer conseguir [RESULTADO VISÍVEL] assim?</x:v>
      </x:c>
      <x:c r="C8" s="16" t="str">
        <x:v>Funciona quando a prova aparece no primeiro segundo.</x:v>
      </x:c>
      <x:c r="D8" s="55"/>
      <x:c r="E8" s="55"/>
      <x:c r="F8" s="55"/>
    </x:row>
    <x:row r="9">
      <x:c r="A9" s="16" t="str">
        <x:v>Objeção</x:v>
      </x:c>
      <x:c r="B9" s="16" t="str">
        <x:v>Eu também achei que [OBJEÇÃO], até testar.</x:v>
      </x:c>
      <x:c r="C9" s="16" t="str">
        <x:v>Útil para preço baixo, qualidade ou facilidade.</x:v>
      </x:c>
      <x:c r="D9" s="55"/>
      <x:c r="E9" s="55"/>
      <x:c r="F9" s="55"/>
    </x:row>
    <x:row r="10">
      <x:c r="A10" s="16" t="str">
        <x:v>Produto viral</x:v>
      </x:c>
      <x:c r="B10" s="16" t="str">
        <x:v>O único problema de comprar [PRODUTO] é querer todas as versões.</x:v>
      </x:c>
      <x:c r="C10" s="16" t="str">
        <x:v>Moda, cores e itens colecionáveis.</x:v>
      </x:c>
      <x:c r="D10" s="55"/>
      <x:c r="E10" s="55"/>
      <x:c r="F10" s="55"/>
    </x:row>
    <x:row r="11">
      <x:c r="A11" s="16" t="str">
        <x:v>Identidade</x:v>
      </x:c>
      <x:c r="B11" s="16" t="str">
        <x:v>Quem gosta de [DESEJO/ESTILO] vai amar isso.</x:v>
      </x:c>
      <x:c r="C11" s="16" t="str">
        <x:v>Chama um público específico sem prometer resultado.</x:v>
      </x:c>
      <x:c r="D11" s="55"/>
      <x:c r="E11" s="55"/>
      <x:c r="F11" s="55"/>
    </x:row>
    <x:row r="12">
      <x:c r="A12" s="16" t="str">
        <x:v>Checklist</x:v>
      </x:c>
      <x:c r="B12" s="16" t="str">
        <x:v>Quando eu compro [CATEGORIA], três pontos me chamam atenção.</x:v>
      </x:c>
      <x:c r="C12" s="16" t="str">
        <x:v>Produtos com acabamento, composição ou mecanismo.</x:v>
      </x:c>
      <x:c r="D12" s="55"/>
      <x:c r="E12" s="55"/>
      <x:c r="F12" s="55"/>
    </x:row>
    <x:row r="13">
      <x:c r="A13" s="16" t="str">
        <x:v>Teste ao vivo</x:v>
      </x:c>
      <x:c r="B13" s="16" t="str">
        <x:v>Eu não sabia se isso funcionava, então testei agora.</x:v>
      </x:c>
      <x:c r="C13" s="16" t="str">
        <x:v>Demonstrações com resultado observável.</x:v>
      </x:c>
      <x:c r="D13" s="55"/>
      <x:c r="E13" s="55"/>
      <x:c r="F13" s="55"/>
    </x:row>
    <x:row r="14">
      <x:c r="A14" s="16" t="str">
        <x:v>Contraintuitivo</x:v>
      </x:c>
      <x:c r="B14" s="16" t="str">
        <x:v>Parece simples, mas resolve a parte mais chata de [TAREFA].</x:v>
      </x:c>
      <x:c r="C14" s="16" t="str">
        <x:v>Utensílios e produtos funcionais.</x:v>
      </x:c>
      <x:c r="D14" s="55"/>
      <x:c r="E14" s="55"/>
      <x:c r="F14" s="55"/>
    </x:row>
    <x:row r="15">
      <x:c r="A15" s="16" t="str">
        <x:v>Trend/retorno</x:v>
      </x:c>
      <x:c r="B15" s="16" t="str">
        <x:v>[PRODUTO/ESTILO] voltou com tudo, e agora eu entendi por quê.</x:v>
      </x:c>
      <x:c r="C15" s="16" t="str">
        <x:v>Moda e tendências sazonais.</x:v>
      </x:c>
      <x:c r="D15" s="55"/>
      <x:c r="E15" s="55"/>
      <x:c r="F15" s="55"/>
    </x:row>
    <x:row r="16">
      <x:c r="A16" s="16" t="str">
        <x:v>Resposta a comentário</x:v>
      </x:c>
      <x:c r="B16" s="16" t="str">
        <x:v>Disseram que [SUSPEITA]. Então vou mostrar sem cortes.</x:v>
      </x:c>
      <x:c r="C16" s="16" t="str">
        <x:v>Quebra de objeção com prova contínua.</x:v>
      </x:c>
      <x:c r="D16" s="55"/>
      <x:c r="E16" s="55"/>
      <x:c r="F16" s="55"/>
    </x:row>
    <x:row r="17">
      <x:c r="A17" s="55"/>
      <x:c r="B17" s="55"/>
      <x:c r="C17" s="55"/>
      <x:c r="D17" s="55"/>
      <x:c r="E17" s="55"/>
      <x:c r="F17" s="55"/>
    </x:row>
    <x:row r="18">
      <x:c r="A18" s="55"/>
      <x:c r="B18" s="55"/>
      <x:c r="C18" s="55"/>
      <x:c r="D18" s="55"/>
      <x:c r="E18" s="55"/>
      <x:c r="F18" s="55"/>
    </x:row>
    <x:row r="19">
      <x:c r="A19" s="13" t="str">
        <x:v>Estrutura de corpo</x:v>
      </x:c>
      <x:c r="B19" s="14" t="str">
        <x:v>Lógica</x:v>
      </x:c>
      <x:c r="C19" s="15" t="str">
        <x:v>Molde</x:v>
      </x:c>
      <x:c r="D19" s="55"/>
      <x:c r="E19" s="55"/>
      <x:c r="F19" s="55"/>
    </x:row>
    <x:row r="20">
      <x:c r="A20" s="16" t="str">
        <x:v>Dor &gt; solução &gt; prova</x:v>
      </x:c>
      <x:c r="B20" s="16" t="str">
        <x:v>Mostre a dor real, apresente o produto e prove uma mudança observável.</x:v>
      </x:c>
      <x:c r="C20" s="16" t="str">
        <x:v>[DOR]. Usei [PRODUTO]. Olha [PROVA VISUAL].</x:v>
      </x:c>
      <x:c r="D20" s="55"/>
      <x:c r="E20" s="55"/>
      <x:c r="F20" s="55"/>
    </x:row>
    <x:row r="21">
      <x:c r="A21" s="16" t="str">
        <x:v>Preço &gt; surpresa &gt; qualidade</x:v>
      </x:c>
      <x:c r="B21" s="16" t="str">
        <x:v>Comece pelo preço, reconheça a desconfiança e entregue uma prova de qualidade.</x:v>
      </x:c>
      <x:c r="C21" s="16" t="str">
        <x:v>Custou [PREÇO]; achei que seria [OBJEÇÃO], mas [PROVA].</x:v>
      </x:c>
      <x:c r="D21" s="55"/>
      <x:c r="E21" s="55"/>
      <x:c r="F21" s="55"/>
    </x:row>
    <x:row r="22">
      <x:c r="A22" s="16" t="str">
        <x:v>Checklist técnico</x:v>
      </x:c>
      <x:c r="B22" s="16" t="str">
        <x:v>Organize o corpo em três critérios verificáveis.</x:v>
      </x:c>
      <x:c r="C22" s="16" t="str">
        <x:v>Primeiro [DETALHE 1]. Depois [DETALHE 2]. Por fim [DETALHE 3].</x:v>
      </x:c>
      <x:c r="D22" s="55"/>
      <x:c r="E22" s="55"/>
      <x:c r="F22" s="55"/>
    </x:row>
    <x:row r="23">
      <x:c r="A23" s="16" t="str">
        <x:v>Teste ao vivo</x:v>
      </x:c>
      <x:c r="B23" s="16" t="str">
        <x:v>Declare a dúvida, execute uma ação e mostre o resultado sem interromper.</x:v>
      </x:c>
      <x:c r="C23" s="16" t="str">
        <x:v>Será que [DÚVIDA]? Vou testar. [AÇÃO]. Olha o resultado.</x:v>
      </x:c>
      <x:c r="D23" s="55"/>
      <x:c r="E23" s="55"/>
      <x:c r="F23" s="55"/>
    </x:row>
    <x:row r="24">
      <x:c r="A24" s="16" t="str">
        <x:v>Antes/depois responsável</x:v>
      </x:c>
      <x:c r="B24" s="16" t="str">
        <x:v>Contextualize o uso e mostre diferenças sem universalizar o resultado.</x:v>
      </x:c>
      <x:c r="C24" s="16" t="str">
        <x:v>Na minha experiência, depois de [PERÍODO], percebi [MUDANÇA OBSERVADA].</x:v>
      </x:c>
      <x:c r="D24" s="55"/>
      <x:c r="E24" s="55"/>
      <x:c r="F24" s="55"/>
    </x:row>
    <x:row r="25">
      <x:c r="A25" s="16" t="str">
        <x:v>Demonstração de mecanismo</x:v>
      </x:c>
      <x:c r="B25" s="16" t="str">
        <x:v>Mostre como abre, fecha, ajusta, corta, encaixa ou aplica.</x:v>
      </x:c>
      <x:c r="C25" s="16" t="str">
        <x:v>Você faz [AÇÃO 1], depois [AÇÃO 2], e o produto fica [ESTADO FINAL].</x:v>
      </x:c>
      <x:c r="D25" s="55"/>
      <x:c r="E25" s="55"/>
      <x:c r="F25" s="55"/>
    </x:row>
    <x:row r="26">
      <x:c r="A26" s="16" t="str">
        <x:v>Versatilidade</x:v>
      </x:c>
      <x:c r="B26" s="16" t="str">
        <x:v>Apresente dois ou três contextos reais de uso.</x:v>
      </x:c>
      <x:c r="C26" s="16" t="str">
        <x:v>Uso em [OCASIÃO 1], [OCASIÃO 2] e [OCASIÃO 3].</x:v>
      </x:c>
      <x:c r="D26" s="55"/>
      <x:c r="E26" s="55"/>
      <x:c r="F26" s="55"/>
    </x:row>
    <x:row r="27">
      <x:c r="A27" s="16" t="str">
        <x:v>Comparação de valor</x:v>
      </x:c>
      <x:c r="B27" s="16" t="str">
        <x:v>Compare com alternativa real sem depreciar nem inventar preço.</x:v>
      </x:c>
      <x:c r="C27" s="16" t="str">
        <x:v>Em [CANAL/ALTERNATIVA] custa [VALOR CONFIRMADO]; aqui encontrei por [VALOR].</x:v>
      </x:c>
      <x:c r="D27" s="55"/>
      <x:c r="E27" s="55"/>
      <x:c r="F27" s="55"/>
    </x:row>
    <x:row r="28">
      <x:c r="A28" s="16" t="str">
        <x:v>Prova social pessoal</x:v>
      </x:c>
      <x:c r="B28" s="16" t="str">
        <x:v>Relate recompra, uso recorrente ou reação autêntica.</x:v>
      </x:c>
      <x:c r="C28" s="16" t="str">
        <x:v>Eu já tinha [VERSÃO] e voltei para comprar [OUTRA VERSÃO].</x:v>
      </x:c>
      <x:c r="D28" s="55"/>
      <x:c r="E28" s="55"/>
      <x:c r="F28" s="55"/>
    </x:row>
    <x:row r="29">
      <x:c r="A29" s="16" t="str">
        <x:v>Objeção &gt; demonstração contínua</x:v>
      </x:c>
      <x:c r="B29" s="16" t="str">
        <x:v>Reproduza a condição questionada e mostre o processo em plano contínuo.</x:v>
      </x:c>
      <x:c r="C29" s="16" t="str">
        <x:v>Você achou que [SUSPEITA]? Vou repetir sem cortes.</x:v>
      </x:c>
      <x:c r="D29" s="55"/>
      <x:c r="E29" s="55"/>
      <x:c r="F29" s="55"/>
    </x:row>
    <x:row r="30">
      <x:c r="A30" s="55"/>
      <x:c r="B30" s="55"/>
      <x:c r="C30" s="55"/>
      <x:c r="D30" s="55"/>
      <x:c r="E30" s="55"/>
      <x:c r="F30" s="55"/>
    </x:row>
    <x:row r="31">
      <x:c r="A31" s="55"/>
      <x:c r="B31" s="55"/>
      <x:c r="C31" s="55"/>
      <x:c r="D31" s="55"/>
      <x:c r="E31" s="55"/>
      <x:c r="F31" s="55"/>
    </x:row>
    <x:row r="32">
      <x:c r="A32" s="13" t="str">
        <x:v>Tipo de CTA</x:v>
      </x:c>
      <x:c r="B32" s="15" t="str">
        <x:v>Fórmula</x:v>
      </x:c>
      <x:c r="C32" s="55"/>
      <x:c r="D32" s="55"/>
      <x:c r="E32" s="55"/>
      <x:c r="F32" s="55"/>
    </x:row>
    <x:row r="33">
      <x:c r="A33" s="16" t="str">
        <x:v>Carrinho neutro</x:v>
      </x:c>
      <x:c r="B33" s="16" t="str">
        <x:v>O produto está no carrinho; dá uma conferida.</x:v>
      </x:c>
      <x:c r="C33" s="55"/>
      <x:c r="D33" s="55"/>
      <x:c r="E33" s="55"/>
      <x:c r="F33" s="55"/>
    </x:row>
    <x:row r="34">
      <x:c r="A34" s="16" t="str">
        <x:v>Escolha</x:v>
      </x:c>
      <x:c r="B34" s="16" t="str">
        <x:v>Abre o carrinho e confere as opções disponíveis.</x:v>
      </x:c>
      <x:c r="C34" s="55"/>
      <x:c r="D34" s="55"/>
      <x:c r="E34" s="55"/>
      <x:c r="F34" s="55"/>
    </x:row>
    <x:row r="35">
      <x:c r="A35" s="16" t="str">
        <x:v>Urgência condicional</x:v>
      </x:c>
      <x:c r="B35" s="16" t="str">
        <x:v>Se a oferta ainda estiver aparecendo, aproveita.</x:v>
      </x:c>
      <x:c r="C35" s="55"/>
      <x:c r="D35" s="55"/>
      <x:c r="E35" s="55"/>
      <x:c r="F35" s="55"/>
    </x:row>
    <x:row r="36">
      <x:c r="A36" s="16" t="str">
        <x:v>Estoque condicional</x:v>
      </x:c>
      <x:c r="B36" s="16" t="str">
        <x:v>Se ainda tiver sua opção disponível, confere no carrinho.</x:v>
      </x:c>
      <x:c r="C36" s="55"/>
      <x:c r="D36" s="55"/>
      <x:c r="E36" s="55"/>
      <x:c r="F36" s="55"/>
    </x:row>
    <x:row r="37">
      <x:c r="A37" s="16" t="str">
        <x:v>Comentário</x:v>
      </x:c>
      <x:c r="B37" s="16" t="str">
        <x:v>Ficou com dúvida? Deixa nos comentários.</x:v>
      </x:c>
      <x:c r="C37" s="55"/>
      <x:c r="D37" s="55"/>
      <x:c r="E37" s="55"/>
      <x:c r="F37" s="55"/>
    </x:row>
    <x:row r="38">
      <x:c r="A38" s="16" t="str">
        <x:v>Teste</x:v>
      </x:c>
      <x:c r="B38" s="16" t="str">
        <x:v>O link do produto que eu testei está no carrinho.</x:v>
      </x:c>
      <x:c r="C38" s="55"/>
      <x:c r="D38" s="55"/>
      <x:c r="E38" s="55"/>
      <x:c r="F38" s="55"/>
    </x:row>
    <x:row r="39">
      <x:c r="A39" s="16" t="str">
        <x:v>Baixa pressão</x:v>
      </x:c>
      <x:c r="B39" s="16" t="str">
        <x:v>Clica e dá uma olhada nos detalhes.</x:v>
      </x:c>
      <x:c r="C39" s="55"/>
      <x:c r="D39" s="55"/>
      <x:c r="E39" s="55"/>
      <x:c r="F39" s="55"/>
    </x:row>
    <x:row r="40">
      <x:c r="A40" s="16" t="str">
        <x:v>Recomendação</x:v>
      </x:c>
      <x:c r="B40" s="16" t="str">
        <x:v>Eu gostei e deixei o link para você conferir.</x:v>
      </x:c>
      <x:c r="C40" s="55"/>
      <x:c r="D40" s="55"/>
      <x:c r="E40" s="55"/>
      <x:c r="F40" s="55"/>
    </x:row>
    <x:row r="41">
      <x:c r="A41" s="55"/>
      <x:c r="B41" s="55"/>
      <x:c r="C41" s="55"/>
      <x:c r="D41" s="55"/>
      <x:c r="E41" s="55"/>
      <x:c r="F41" s="55"/>
    </x:row>
    <x:row r="42">
      <x:c r="A42" s="55"/>
      <x:c r="B42" s="55"/>
      <x:c r="C42" s="55"/>
      <x:c r="D42" s="55"/>
      <x:c r="E42" s="55"/>
      <x:c r="F42" s="55"/>
    </x:row>
    <x:row r="43">
      <x:c r="A43" s="13" t="str">
        <x:v>Duração</x:v>
      </x:c>
      <x:c r="B43" s="14" t="str">
        <x:v>Estrutura</x:v>
      </x:c>
      <x:c r="C43" s="14" t="str">
        <x:v>Palavras</x:v>
      </x:c>
      <x:c r="D43" s="15" t="str">
        <x:v>Indicação</x:v>
      </x:c>
      <x:c r="E43" s="55"/>
      <x:c r="F43" s="55"/>
    </x:row>
    <x:row r="44">
      <x:c r="A44" s="16" t="str">
        <x:v>8–10 s</x:v>
      </x:c>
      <x:c r="B44" s="16" t="str">
        <x:v>1 hook + 1 prova/benefício + 1 CTA</x:v>
      </x:c>
      <x:c r="C44" s="16" t="str">
        <x:v>18–24 palavras</x:v>
      </x:c>
      <x:c r="D44" s="16" t="str">
        <x:v>Preço impossível; pergunta visual; demonstração curta</x:v>
      </x:c>
      <x:c r="E44" s="55"/>
      <x:c r="F44" s="55"/>
    </x:row>
    <x:row r="45">
      <x:c r="A45" s="16" t="str">
        <x:v>15–20 s</x:v>
      </x:c>
      <x:c r="B45" s="16" t="str">
        <x:v>Hook + 2 argumentos + prova + CTA</x:v>
      </x:c>
      <x:c r="C45" s="16" t="str">
        <x:v>34–46 palavras</x:v>
      </x:c>
      <x:c r="D45" s="16" t="str">
        <x:v>Depoimento; oferta direta; mecanismo</x:v>
      </x:c>
      <x:c r="E45" s="55"/>
      <x:c r="F45" s="55"/>
    </x:row>
    <x:row r="46">
      <x:c r="A46" s="16" t="str">
        <x:v>25–40 s</x:v>
      </x:c>
      <x:c r="B46" s="16" t="str">
        <x:v>Hook + contexto + 3 argumentos + objeção + CTA</x:v>
      </x:c>
      <x:c r="C46" s="16" t="str">
        <x:v>58–90 palavras</x:v>
      </x:c>
      <x:c r="D46" s="16" t="str">
        <x:v>Moda; review; comparação</x:v>
      </x:c>
      <x:c r="E46" s="55"/>
      <x:c r="F46" s="55"/>
    </x:row>
    <x:row r="47">
      <x:c r="A47" s="16" t="str">
        <x:v>45–70 s</x:v>
      </x:c>
      <x:c r="B47" s="16" t="str">
        <x:v>Hook + história + demonstração + objeção + prova + CTA</x:v>
      </x:c>
      <x:c r="C47" s="16" t="str">
        <x:v>100–155 palavras</x:v>
      </x:c>
      <x:c r="D47" s="16" t="str">
        <x:v>Teste ao vivo; checklist; resposta a comentário</x:v>
      </x:c>
      <x:c r="E47" s="55"/>
      <x:c r="F47" s="55"/>
    </x:row>
  </x:sheetData>
  <x:mergeCells>
    <x:mergeCell ref="A1:F2"/>
  </x:mergeCells>
  <x:pageMargins left="0.7" right="0.7" top="0.75" bottom="0.75" header="0.3" footer="0.3"/>
  <x:tableParts count="4">
    <x:tablePart xmlns:r="http://schemas.openxmlformats.org/officeDocument/2006/relationships" r:id="R8ba8c2922322440f"/>
    <x:tablePart xmlns:r="http://schemas.openxmlformats.org/officeDocument/2006/relationships" r:id="R30c128c3aa354626"/>
    <x:tablePart xmlns:r="http://schemas.openxmlformats.org/officeDocument/2006/relationships" r:id="Rf016469fd593491b"/>
    <x:tablePart xmlns:r="http://schemas.openxmlformats.org/officeDocument/2006/relationships" r:id="Rc1dc0b45b51847a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5" max="5" width="30" hidden="0" customWidth="1"/>
  </x:cols>
  <x:sheetData>
    <x:row r="1">
      <x:c r="A1" s="53" t="str">
        <x:v>Hashtags observadas no corpus</x:v>
      </x:c>
      <x:c r="B1" s="53"/>
      <x:c r="C1" s="53"/>
      <x:c r="D1" s="53"/>
      <x:c r="E1" s="71" t="str">
        <x:v>Regra prática</x:v>
      </x:c>
    </x:row>
    <x:row r="2">
      <x:c r="A2" s="53"/>
      <x:c r="B2" s="53"/>
      <x:c r="C2" s="53"/>
      <x:c r="D2" s="53"/>
      <x:c r="E2" s="71" t="str">
        <x:v>Use até 5 hashtags</x:v>
      </x:c>
    </x:row>
    <x:row r="3">
      <x:c r="A3" s="55"/>
      <x:c r="B3" s="55"/>
      <x:c r="C3" s="55"/>
      <x:c r="D3" s="55"/>
      <x:c r="E3" s="71" t="str">
        <x:v>1 de produto</x:v>
      </x:c>
    </x:row>
    <x:row r="4">
      <x:c r="A4" s="13" t="str">
        <x:v>Hashtag</x:v>
      </x:c>
      <x:c r="B4" s="14" t="str">
        <x:v>Frequência</x:v>
      </x:c>
      <x:c r="C4" s="15" t="str">
        <x:v>Uso recomendado</x:v>
      </x:c>
      <x:c r="D4" s="55"/>
      <x:c r="E4" s="71" t="str">
        <x:v>1 de categoria</x:v>
      </x:c>
    </x:row>
    <x:row r="5">
      <x:c r="A5" s="16" t="str">
        <x:v>#modafeminina</x:v>
      </x:c>
      <x:c r="B5" s="16" t="n">
        <x:v>11</x:v>
      </x:c>
      <x:c r="C5" s="16" t="str">
        <x:v>Categoria/produto</x:v>
      </x:c>
      <x:c r="D5" s="55"/>
      <x:c r="E5" s="71" t="str">
        <x:v>1 de contexto/intenção</x:v>
      </x:c>
    </x:row>
    <x:row r="6">
      <x:c r="A6" s="16" t="str">
        <x:v>#tiktokshop</x:v>
      </x:c>
      <x:c r="B6" s="16" t="n">
        <x:v>9</x:v>
      </x:c>
      <x:c r="C6" s="16" t="str">
        <x:v>Descoberta ampla</x:v>
      </x:c>
      <x:c r="D6" s="55"/>
      <x:c r="E6" s="71" t="str">
        <x:v>1 de descoberta, se fizer sentido</x:v>
      </x:c>
    </x:row>
    <x:row r="7">
      <x:c r="A7" s="16" t="str">
        <x:v>#cintamodeladora</x:v>
      </x:c>
      <x:c r="B7" s="16" t="n">
        <x:v>7</x:v>
      </x:c>
      <x:c r="C7" s="16" t="str">
        <x:v>Categoria/produto</x:v>
      </x:c>
      <x:c r="D7" s="55"/>
      <x:c r="E7" s="55"/>
    </x:row>
    <x:row r="8">
      <x:c r="A8" s="16" t="str">
        <x:v>#bodysplash</x:v>
      </x:c>
      <x:c r="B8" s="16" t="n">
        <x:v>6</x:v>
      </x:c>
      <x:c r="C8" s="16" t="str">
        <x:v>Contexto ou intenção</x:v>
      </x:c>
      <x:c r="D8" s="55"/>
      <x:c r="E8" s="55"/>
    </x:row>
    <x:row r="9">
      <x:c r="A9" s="16" t="str">
        <x:v>#calçapantalona</x:v>
      </x:c>
      <x:c r="B9" s="16" t="n">
        <x:v>6</x:v>
      </x:c>
      <x:c r="C9" s="16" t="str">
        <x:v>Categoria/produto</x:v>
      </x:c>
      <x:c r="D9" s="55"/>
      <x:c r="E9" s="55"/>
    </x:row>
    <x:row r="10">
      <x:c r="A10" s="16" t="str">
        <x:v>#cinta</x:v>
      </x:c>
      <x:c r="B10" s="16" t="n">
        <x:v>6</x:v>
      </x:c>
      <x:c r="C10" s="16" t="str">
        <x:v>Categoria/produto</x:v>
      </x:c>
      <x:c r="D10" s="55"/>
      <x:c r="E10" s="55"/>
    </x:row>
    <x:row r="11">
      <x:c r="A11" s="16" t="str">
        <x:v>#fyp</x:v>
      </x:c>
      <x:c r="B11" s="16" t="n">
        <x:v>6</x:v>
      </x:c>
      <x:c r="C11" s="16" t="str">
        <x:v>Descoberta ampla</x:v>
      </x:c>
      <x:c r="D11" s="55"/>
      <x:c r="E11" s="55"/>
    </x:row>
    <x:row r="12">
      <x:c r="A12" s="16" t="str">
        <x:v>#homemcheiroso</x:v>
      </x:c>
      <x:c r="B12" s="16" t="n">
        <x:v>6</x:v>
      </x:c>
      <x:c r="C12" s="16" t="str">
        <x:v>Contexto ou intenção</x:v>
      </x:c>
      <x:c r="D12" s="55"/>
      <x:c r="E12" s="55"/>
    </x:row>
    <x:row r="13">
      <x:c r="A13" s="16" t="str">
        <x:v>#cozinha</x:v>
      </x:c>
      <x:c r="B13" s="16" t="n">
        <x:v>5</x:v>
      </x:c>
      <x:c r="C13" s="16" t="str">
        <x:v>Categoria/produto</x:v>
      </x:c>
      <x:c r="D13" s="55"/>
      <x:c r="E13" s="55"/>
    </x:row>
    <x:row r="14">
      <x:c r="A14" s="16" t="str">
        <x:v>#flare</x:v>
      </x:c>
      <x:c r="B14" s="16" t="n">
        <x:v>4</x:v>
      </x:c>
      <x:c r="C14" s="16" t="str">
        <x:v>Contexto ou intenção</x:v>
      </x:c>
      <x:c r="D14" s="55"/>
      <x:c r="E14" s="55"/>
    </x:row>
    <x:row r="15">
      <x:c r="A15" s="16" t="str">
        <x:v>#foryou</x:v>
      </x:c>
      <x:c r="B15" s="16" t="n">
        <x:v>4</x:v>
      </x:c>
      <x:c r="C15" s="16" t="str">
        <x:v>Contexto ou intenção</x:v>
      </x:c>
      <x:c r="D15" s="55"/>
      <x:c r="E15" s="55"/>
    </x:row>
    <x:row r="16">
      <x:c r="A16" s="16" t="str">
        <x:v>#perfumemasculino</x:v>
      </x:c>
      <x:c r="B16" s="16" t="n">
        <x:v>4</x:v>
      </x:c>
      <x:c r="C16" s="16" t="str">
        <x:v>Categoria/produto</x:v>
      </x:c>
      <x:c r="D16" s="55"/>
      <x:c r="E16" s="55"/>
    </x:row>
    <x:row r="17">
      <x:c r="A17" s="16" t="str">
        <x:v>#achadinhos</x:v>
      </x:c>
      <x:c r="B17" s="16" t="n">
        <x:v>3</x:v>
      </x:c>
      <x:c r="C17" s="16" t="str">
        <x:v>Contexto ou intenção</x:v>
      </x:c>
      <x:c r="D17" s="55"/>
      <x:c r="E17" s="55"/>
    </x:row>
    <x:row r="18">
      <x:c r="A18" s="16" t="str">
        <x:v>#calça</x:v>
      </x:c>
      <x:c r="B18" s="16" t="n">
        <x:v>3</x:v>
      </x:c>
      <x:c r="C18" s="16" t="str">
        <x:v>Categoria/produto</x:v>
      </x:c>
      <x:c r="D18" s="55"/>
      <x:c r="E18" s="55"/>
    </x:row>
    <x:row r="19">
      <x:c r="A19" s="16" t="str">
        <x:v>#fatiador</x:v>
      </x:c>
      <x:c r="B19" s="16" t="n">
        <x:v>3</x:v>
      </x:c>
      <x:c r="C19" s="16" t="str">
        <x:v>Categoria/produto</x:v>
      </x:c>
      <x:c r="D19" s="55"/>
      <x:c r="E19" s="55"/>
    </x:row>
    <x:row r="20">
      <x:c r="A20" s="16" t="str">
        <x:v>#legging</x:v>
      </x:c>
      <x:c r="B20" s="16" t="n">
        <x:v>3</x:v>
      </x:c>
      <x:c r="C20" s="16" t="str">
        <x:v>Categoria/produto</x:v>
      </x:c>
      <x:c r="D20" s="55"/>
      <x:c r="E20" s="55"/>
    </x:row>
    <x:row r="21">
      <x:c r="A21" s="16" t="str">
        <x:v>#tiktokshopbr77</x:v>
      </x:c>
      <x:c r="B21" s="16" t="n">
        <x:v>3</x:v>
      </x:c>
      <x:c r="C21" s="16" t="str">
        <x:v>Descoberta ampla</x:v>
      </x:c>
      <x:c r="D21" s="55"/>
      <x:c r="E21" s="55"/>
    </x:row>
    <x:row r="22">
      <x:c r="A22" s="16" t="str">
        <x:v>#calçafeminina</x:v>
      </x:c>
      <x:c r="B22" s="16" t="n">
        <x:v>2</x:v>
      </x:c>
      <x:c r="C22" s="16" t="str">
        <x:v>Categoria/produto</x:v>
      </x:c>
      <x:c r="D22" s="55"/>
      <x:c r="E22" s="55"/>
    </x:row>
    <x:row r="23">
      <x:c r="A23" s="16" t="str">
        <x:v>#calcaflare</x:v>
      </x:c>
      <x:c r="B23" s="16" t="n">
        <x:v>2</x:v>
      </x:c>
      <x:c r="C23" s="16" t="str">
        <x:v>Categoria/produto</x:v>
      </x:c>
      <x:c r="D23" s="55"/>
      <x:c r="E23" s="55"/>
    </x:row>
    <x:row r="24">
      <x:c r="A24" s="16" t="str">
        <x:v>#cintapósparto</x:v>
      </x:c>
      <x:c r="B24" s="16" t="n">
        <x:v>2</x:v>
      </x:c>
      <x:c r="C24" s="16" t="str">
        <x:v>Categoria/produto</x:v>
      </x:c>
      <x:c r="D24" s="55"/>
      <x:c r="E24" s="55"/>
    </x:row>
    <x:row r="25">
      <x:c r="A25" s="16" t="str">
        <x:v>#cintaredutora</x:v>
      </x:c>
      <x:c r="B25" s="16" t="n">
        <x:v>2</x:v>
      </x:c>
      <x:c r="C25" s="16" t="str">
        <x:v>Categoria/produto</x:v>
      </x:c>
      <x:c r="D25" s="55"/>
      <x:c r="E25" s="55"/>
    </x:row>
    <x:row r="26">
      <x:c r="A26" s="16" t="str">
        <x:v>#cortador</x:v>
      </x:c>
      <x:c r="B26" s="16" t="n">
        <x:v>2</x:v>
      </x:c>
      <x:c r="C26" s="16" t="str">
        <x:v>Contexto ou intenção</x:v>
      </x:c>
      <x:c r="D26" s="55"/>
      <x:c r="E26" s="55"/>
    </x:row>
    <x:row r="27">
      <x:c r="A27" s="16" t="str">
        <x:v>#explore</x:v>
      </x:c>
      <x:c r="B27" s="16" t="n">
        <x:v>2</x:v>
      </x:c>
      <x:c r="C27" s="16" t="str">
        <x:v>Contexto ou intenção</x:v>
      </x:c>
      <x:c r="D27" s="55"/>
      <x:c r="E27" s="55"/>
    </x:row>
    <x:row r="28">
      <x:c r="A28" s="16" t="str">
        <x:v>#fy</x:v>
      </x:c>
      <x:c r="B28" s="16" t="n">
        <x:v>2</x:v>
      </x:c>
      <x:c r="C28" s="16" t="str">
        <x:v>Descoberta ampla</x:v>
      </x:c>
      <x:c r="D28" s="55"/>
      <x:c r="E28" s="55"/>
    </x:row>
    <x:row r="29">
      <x:c r="A29" s="16" t="str">
        <x:v>#leggingflare</x:v>
      </x:c>
      <x:c r="B29" s="16" t="n">
        <x:v>2</x:v>
      </x:c>
      <x:c r="C29" s="16" t="str">
        <x:v>Categoria/produto</x:v>
      </x:c>
      <x:c r="D29" s="55"/>
      <x:c r="E29" s="55"/>
    </x:row>
    <x:row r="30">
      <x:c r="A30" s="16" t="str">
        <x:v>#lookdodia</x:v>
      </x:c>
      <x:c r="B30" s="16" t="n">
        <x:v>2</x:v>
      </x:c>
      <x:c r="C30" s="16" t="str">
        <x:v>Contexto ou intenção</x:v>
      </x:c>
      <x:c r="D30" s="55"/>
      <x:c r="E30" s="55"/>
    </x:row>
    <x:row r="31">
      <x:c r="A31" s="16" t="str">
        <x:v>#moda</x:v>
      </x:c>
      <x:c r="B31" s="16" t="n">
        <x:v>2</x:v>
      </x:c>
      <x:c r="C31" s="16" t="str">
        <x:v>Categoria/produto</x:v>
      </x:c>
      <x:c r="D31" s="55"/>
      <x:c r="E31" s="55"/>
    </x:row>
    <x:row r="32">
      <x:c r="A32" s="16" t="str">
        <x:v>#perfume</x:v>
      </x:c>
      <x:c r="B32" s="16" t="n">
        <x:v>2</x:v>
      </x:c>
      <x:c r="C32" s="16" t="str">
        <x:v>Categoria/produto</x:v>
      </x:c>
      <x:c r="D32" s="55"/>
      <x:c r="E32" s="55"/>
    </x:row>
    <x:row r="33">
      <x:c r="A33" s="16" t="str">
        <x:v>#posparto</x:v>
      </x:c>
      <x:c r="B33" s="16" t="n">
        <x:v>2</x:v>
      </x:c>
      <x:c r="C33" s="16" t="str">
        <x:v>Contexto ou intenção</x:v>
      </x:c>
      <x:c r="D33" s="55"/>
      <x:c r="E33" s="55"/>
    </x:row>
    <x:row r="34">
      <x:c r="A34" s="16" t="str">
        <x:v>#promotiktok</x:v>
      </x:c>
      <x:c r="B34" s="16" t="n">
        <x:v>2</x:v>
      </x:c>
      <x:c r="C34" s="16" t="str">
        <x:v>Descoberta ampla</x:v>
      </x:c>
      <x:c r="D34" s="55"/>
      <x:c r="E34" s="55"/>
    </x:row>
    <x:row r="35">
      <x:c r="A35" s="16" t="str">
        <x:v>#tiktokshop77</x:v>
      </x:c>
      <x:c r="B35" s="16" t="n">
        <x:v>2</x:v>
      </x:c>
      <x:c r="C35" s="16" t="str">
        <x:v>Descoberta ampla</x:v>
      </x:c>
      <x:c r="D35" s="55"/>
      <x:c r="E35" s="55"/>
    </x:row>
    <x:row r="36">
      <x:c r="A36" s="16" t="str">
        <x:v>#tiktokshopbr66</x:v>
      </x:c>
      <x:c r="B36" s="16" t="n">
        <x:v>2</x:v>
      </x:c>
      <x:c r="C36" s="16" t="str">
        <x:v>Descoberta ampla</x:v>
      </x:c>
      <x:c r="D36" s="55"/>
      <x:c r="E36" s="55"/>
    </x:row>
    <x:row r="37">
      <x:c r="A37" s="16" t="str">
        <x:v>#tiktokshopbrasil</x:v>
      </x:c>
      <x:c r="B37" s="16" t="n">
        <x:v>2</x:v>
      </x:c>
      <x:c r="C37" s="16" t="str">
        <x:v>Descoberta ampla</x:v>
      </x:c>
      <x:c r="D37" s="55"/>
      <x:c r="E37" s="55"/>
    </x:row>
    <x:row r="38">
      <x:c r="A38" s="16" t="str">
        <x:v>#viraisdatorcida</x:v>
      </x:c>
      <x:c r="B38" s="16" t="n">
        <x:v>2</x:v>
      </x:c>
      <x:c r="C38" s="16" t="str">
        <x:v>Contexto ou intenção</x:v>
      </x:c>
      <x:c r="D38" s="55"/>
      <x:c r="E38" s="55"/>
    </x:row>
    <x:row r="39">
      <x:c r="A39" s="16" t="str">
        <x:v>#academia</x:v>
      </x:c>
      <x:c r="B39" s="16" t="n">
        <x:v>1</x:v>
      </x:c>
      <x:c r="C39" s="16" t="str">
        <x:v>Contexto ou intenção</x:v>
      </x:c>
      <x:c r="D39" s="55"/>
      <x:c r="E39" s="55"/>
    </x:row>
    <x:row r="40">
      <x:c r="A40" s="16" t="str">
        <x:v>#achadinhostiktok</x:v>
      </x:c>
      <x:c r="B40" s="16" t="n">
        <x:v>1</x:v>
      </x:c>
      <x:c r="C40" s="16" t="str">
        <x:v>Descoberta ampla</x:v>
      </x:c>
      <x:c r="D40" s="55"/>
      <x:c r="E40" s="55"/>
    </x:row>
    <x:row r="41">
      <x:c r="A41" s="16" t="str">
        <x:v>#aerox</x:v>
      </x:c>
      <x:c r="B41" s="16" t="n">
        <x:v>1</x:v>
      </x:c>
      <x:c r="C41" s="16" t="str">
        <x:v>Contexto ou intenção</x:v>
      </x:c>
      <x:c r="D41" s="55"/>
      <x:c r="E41" s="55"/>
    </x:row>
    <x:row r="42">
      <x:c r="A42" s="16" t="str">
        <x:v>#babydoll</x:v>
      </x:c>
      <x:c r="B42" s="16" t="n">
        <x:v>1</x:v>
      </x:c>
      <x:c r="C42" s="16" t="str">
        <x:v>Contexto ou intenção</x:v>
      </x:c>
      <x:c r="D42" s="55"/>
      <x:c r="E42" s="55"/>
    </x:row>
    <x:row r="43">
      <x:c r="A43" s="16" t="str">
        <x:v>#babydolls</x:v>
      </x:c>
      <x:c r="B43" s="16" t="n">
        <x:v>1</x:v>
      </x:c>
      <x:c r="C43" s="16" t="str">
        <x:v>Contexto ou intenção</x:v>
      </x:c>
      <x:c r="D43" s="55"/>
      <x:c r="E43" s="55"/>
    </x:row>
    <x:row r="44">
      <x:c r="A44" s="16" t="str">
        <x:v>#borysplash</x:v>
      </x:c>
      <x:c r="B44" s="16" t="n">
        <x:v>1</x:v>
      </x:c>
      <x:c r="C44" s="16" t="str">
        <x:v>Contexto ou intenção</x:v>
      </x:c>
      <x:c r="D44" s="55"/>
      <x:c r="E44" s="55"/>
    </x:row>
    <x:row r="45">
      <x:c r="A45" s="16" t="str">
        <x:v>#borysplashmasculino</x:v>
      </x:c>
      <x:c r="B45" s="16" t="n">
        <x:v>1</x:v>
      </x:c>
      <x:c r="C45" s="16" t="str">
        <x:v>Contexto ou intenção</x:v>
      </x:c>
      <x:c r="D45" s="55"/>
      <x:c r="E45" s="55"/>
    </x:row>
    <x:row r="46">
      <x:c r="A46" s="16" t="str">
        <x:v>#brasil</x:v>
      </x:c>
      <x:c r="B46" s="16" t="n">
        <x:v>1</x:v>
      </x:c>
      <x:c r="C46" s="16" t="str">
        <x:v>Contexto ou intenção</x:v>
      </x:c>
      <x:c r="D46" s="55"/>
      <x:c r="E46" s="55"/>
    </x:row>
    <x:row r="47">
      <x:c r="A47" s="16" t="str">
        <x:v>#calca</x:v>
      </x:c>
      <x:c r="B47" s="16" t="n">
        <x:v>1</x:v>
      </x:c>
      <x:c r="C47" s="16" t="str">
        <x:v>Categoria/produto</x:v>
      </x:c>
      <x:c r="D47" s="55"/>
      <x:c r="E47" s="55"/>
    </x:row>
    <x:row r="48">
      <x:c r="A48" s="16" t="str">
        <x:v>#calcaalfaiataria</x:v>
      </x:c>
      <x:c r="B48" s="16" t="n">
        <x:v>1</x:v>
      </x:c>
      <x:c r="C48" s="16" t="str">
        <x:v>Categoria/produto</x:v>
      </x:c>
      <x:c r="D48" s="55"/>
      <x:c r="E48" s="55"/>
    </x:row>
    <x:row r="49">
      <x:c r="A49" s="16" t="str">
        <x:v>#calcafeminina</x:v>
      </x:c>
      <x:c r="B49" s="16" t="n">
        <x:v>1</x:v>
      </x:c>
      <x:c r="C49" s="16" t="str">
        <x:v>Categoria/produto</x:v>
      </x:c>
      <x:c r="D49" s="55"/>
      <x:c r="E49" s="55"/>
    </x:row>
    <x:row r="50">
      <x:c r="A50" s="16" t="str">
        <x:v>#calcaleggingflare</x:v>
      </x:c>
      <x:c r="B50" s="16" t="n">
        <x:v>1</x:v>
      </x:c>
      <x:c r="C50" s="16" t="str">
        <x:v>Categoria/produto</x:v>
      </x:c>
      <x:c r="D50" s="55"/>
      <x:c r="E50" s="55"/>
    </x:row>
    <x:row r="51">
      <x:c r="A51" s="16" t="str">
        <x:v>#calçamarrant</x:v>
      </x:c>
      <x:c r="B51" s="16" t="n">
        <x:v>1</x:v>
      </x:c>
      <x:c r="C51" s="16" t="str">
        <x:v>Categoria/produto</x:v>
      </x:c>
      <x:c r="D51" s="55"/>
      <x:c r="E51" s="55"/>
    </x:row>
    <x:row r="52">
      <x:c r="A52" s="16" t="str">
        <x:v>#calcapantalona</x:v>
      </x:c>
      <x:c r="B52" s="16" t="n">
        <x:v>1</x:v>
      </x:c>
      <x:c r="C52" s="16" t="str">
        <x:v>Categoria/produto</x:v>
      </x:c>
      <x:c r="D52" s="55"/>
      <x:c r="E52" s="55"/>
    </x:row>
    <x:row r="53">
      <x:c r="A53" s="16" t="str">
        <x:v>#calçasocial</x:v>
      </x:c>
      <x:c r="B53" s="16" t="n">
        <x:v>1</x:v>
      </x:c>
      <x:c r="C53" s="16" t="str">
        <x:v>Categoria/produto</x:v>
      </x:c>
      <x:c r="D53" s="55"/>
      <x:c r="E53" s="55"/>
    </x:row>
    <x:row r="54">
      <x:c r="A54" s="16" t="str">
        <x:v>#camisola</x:v>
      </x:c>
      <x:c r="B54" s="16" t="n">
        <x:v>1</x:v>
      </x:c>
      <x:c r="C54" s="16" t="str">
        <x:v>Contexto ou intenção</x:v>
      </x:c>
      <x:c r="D54" s="55"/>
      <x:c r="E54" s="55"/>
    </x:row>
  </x:sheetData>
  <x:mergeCells>
    <x:mergeCell ref="A1:D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58" hidden="0" customWidth="1"/>
    <x:col min="4" max="4" width="58" hidden="0" customWidth="1"/>
    <x:col min="5" max="5" width="24" hidden="0" customWidth="1"/>
    <x:col min="6" max="6" width="24" hidden="0" customWidth="1"/>
    <x:col min="7" max="7" width="55" hidden="0" customWidth="1"/>
  </x:cols>
  <x:sheetData>
    <x:row r="1">
      <x:c r="A1" s="13" t="str">
        <x:v>Nº</x:v>
      </x:c>
      <x:c r="B1" s="14" t="str">
        <x:v>ID</x:v>
      </x:c>
      <x:c r="C1" s="14" t="str">
        <x:v>URL</x:v>
      </x:c>
      <x:c r="D1" s="14" t="str">
        <x:v>Arquivo local</x:v>
      </x:c>
      <x:c r="E1" s="14" t="str">
        <x:v>Status</x:v>
      </x:c>
      <x:c r="F1" s="14" t="str">
        <x:v>Confiança</x:v>
      </x:c>
      <x:c r="G1" s="15" t="str">
        <x:v>Nota de uso</x:v>
      </x:c>
    </x:row>
    <x:row r="2">
      <x:c r="A2" s="16" t="n">
        <x:v>1</x:v>
      </x:c>
      <x:c r="B2" s="16" t="str">
        <x:v>​7671368504032906504</x:v>
      </x:c>
      <x:c r="C2" s="16" t="str">
        <x:v>https://www.tiktok.com/@carolshopcreatoor/video/7671368504032906504</x:v>
      </x:c>
      <x:c r="D2" s="16" t="str">
        <x:v>D:\Projetos\TiktokShop\Transcricao TikTok 2026-08-08 carolshopcreatoor 7671368504032906504\01_tiktok_7671368504032906504_transcricao.md</x:v>
      </x:c>
      <x:c r="E2" s="16" t="str">
        <x:v>Copy falada</x:v>
      </x:c>
      <x:c r="F2" s="16" t="str">
        <x:v>Alta</x:v>
      </x:c>
      <x:c r="G2" s="16" t="str">
        <x:v>Transcrição utilizável como referência editorial; validar alegações comerciais antes de adaptar.</x:v>
      </x:c>
    </x:row>
    <x:row r="3">
      <x:c r="A3" s="16" t="n">
        <x:v>2</x:v>
      </x:c>
      <x:c r="B3" s="16" t="str">
        <x:v>​7595297903053212946</x:v>
      </x:c>
      <x:c r="C3" s="16" t="str">
        <x:v>https://www.tiktok.com/@victordx_7/video/7595297903053212946</x:v>
      </x:c>
      <x:c r="D3" s="16" t="str">
        <x:v>D:\Projetos\TiktokShop\Transcricoes TikTok 2026-07-27\04_tiktok_7595297903053212946_transcricao.md</x:v>
      </x:c>
      <x:c r="E3" s="16" t="str">
        <x:v>Sem copy falada</x:v>
      </x:c>
      <x:c r="F3" s="16" t="str">
        <x:v>N/A</x:v>
      </x:c>
      <x:c r="G3" s="16" t="str">
        <x:v>Não há copy falada confiável; usar somente como referência visual/textual.</x:v>
      </x:c>
    </x:row>
    <x:row r="4">
      <x:c r="A4" s="16" t="n">
        <x:v>3</x:v>
      </x:c>
      <x:c r="B4" s="16" t="str">
        <x:v>​7609015220085869831</x:v>
      </x:c>
      <x:c r="C4" s="16" t="str">
        <x:v>https://www.tiktok.com/@dicasdamomo/video/7609015220085869831</x:v>
      </x:c>
      <x:c r="D4" s="16" t="str">
        <x:v>D:\Projetos\TiktokShop\Transcricoes TikTok 2026-07-27\05_tiktok_7609015220085869831_transcricao.md</x:v>
      </x:c>
      <x:c r="E4" s="16" t="str">
        <x:v>Copy falada</x:v>
      </x:c>
      <x:c r="F4" s="16" t="str">
        <x:v>Baixa</x:v>
      </x:c>
      <x:c r="G4" s="16" t="str">
        <x:v>Transcrição automática com trechos possivelmente corrompidos; revisar o áudio antes de reutilizar literalmente.</x:v>
      </x:c>
    </x:row>
    <x:row r="5">
      <x:c r="A5" s="16" t="n">
        <x:v>4</x:v>
      </x:c>
      <x:c r="B5" s="16" t="str">
        <x:v>​7614624337714236693</x:v>
      </x:c>
      <x:c r="C5" s="16" t="str">
        <x:v>https://www.tiktok.com/@dicas_sah/video/7614624337714236693</x:v>
      </x:c>
      <x:c r="D5" s="16" t="str">
        <x:v>D:\Projetos\TiktokShop\Transcricoes TikTok 2026-07-27\12_tiktok_7614624337714236693_transcricao.md</x:v>
      </x:c>
      <x:c r="E5" s="16" t="str">
        <x:v>Copy falada</x:v>
      </x:c>
      <x:c r="F5" s="16" t="str">
        <x:v>Baixa</x:v>
      </x:c>
      <x:c r="G5" s="16" t="str">
        <x:v>Transcrição automática com trechos possivelmente corrompidos; revisar o áudio antes de reutilizar literalmente.</x:v>
      </x:c>
    </x:row>
    <x:row r="6">
      <x:c r="A6" s="16" t="n">
        <x:v>5</x:v>
      </x:c>
      <x:c r="B6" s="16" t="str">
        <x:v>​7619890258913627412</x:v>
      </x:c>
      <x:c r="C6" s="16" t="str">
        <x:v>https://www.tiktok.com/@isa_deconto/video/7619890258913627412</x:v>
      </x:c>
      <x:c r="D6" s="16" t="str">
        <x:v>D:\Projetos\TiktokShop\Transcricoes TikTok 2026-07-27\14_tiktok_7619890258913627412_transcricao.md</x:v>
      </x:c>
      <x:c r="E6" s="16" t="str">
        <x:v>Copy falada</x:v>
      </x:c>
      <x:c r="F6" s="16" t="str">
        <x:v>Baixa</x:v>
      </x:c>
      <x:c r="G6" s="16" t="str">
        <x:v>Transcrição automática com trechos possivelmente corrompidos; revisar o áudio antes de reutilizar literalmente.</x:v>
      </x:c>
    </x:row>
    <x:row r="7">
      <x:c r="A7" s="16" t="n">
        <x:v>6</x:v>
      </x:c>
      <x:c r="B7" s="16" t="str">
        <x:v>​7624126799483637000</x:v>
      </x:c>
      <x:c r="C7" s="16" t="str">
        <x:v>https://www.tiktok.com/@dudascaglioneugc/video/7624126799483637000</x:v>
      </x:c>
      <x:c r="D7" s="16" t="str">
        <x:v>D:\Projetos\TiktokShop\Transcricoes TikTok 2026-07-27\10_tiktok_7624126799483637000_transcricao.md</x:v>
      </x:c>
      <x:c r="E7" s="16" t="str">
        <x:v>Copy falada</x:v>
      </x:c>
      <x:c r="F7" s="16" t="str">
        <x:v>Baixa</x:v>
      </x:c>
      <x:c r="G7" s="16" t="str">
        <x:v>Transcrição automática com trechos possivelmente corrompidos; revisar o áudio antes de reutilizar literalmente.</x:v>
      </x:c>
    </x:row>
    <x:row r="8">
      <x:c r="A8" s="16" t="n">
        <x:v>7</x:v>
      </x:c>
      <x:c r="B8" s="16" t="str">
        <x:v>​7635842588691483912</x:v>
      </x:c>
      <x:c r="C8" s="16" t="str">
        <x:v>https://www.tiktok.com/@dibagi_/video/7635842588691483912</x:v>
      </x:c>
      <x:c r="D8" s="16" t="str">
        <x:v>D:\Projetos\TiktokShop\Transcricoes TikTok 2026-07-27\06_tiktok_7635842588691483912_transcricao.md</x:v>
      </x:c>
      <x:c r="E8" s="16" t="str">
        <x:v>Copy falada</x:v>
      </x:c>
      <x:c r="F8" s="16" t="str">
        <x:v>Baixa</x:v>
      </x:c>
      <x:c r="G8" s="16" t="str">
        <x:v>Transcrição automática com trechos possivelmente corrompidos; revisar o áudio antes de reutilizar literalmente.</x:v>
      </x:c>
    </x:row>
    <x:row r="9">
      <x:c r="A9" s="16" t="n">
        <x:v>8</x:v>
      </x:c>
      <x:c r="B9" s="16" t="str">
        <x:v>​7636849394784013575</x:v>
      </x:c>
      <x:c r="C9" s="16" t="str">
        <x:v>https://www.tiktok.com/@dibagi_/video/7636849394784013575</x:v>
      </x:c>
      <x:c r="D9" s="16" t="str">
        <x:v>D:\Projetos\TiktokShop\Transcricoes TikTok 2026-07-27\07_tiktok_7636849394784013575_transcricao.md</x:v>
      </x:c>
      <x:c r="E9" s="16" t="str">
        <x:v>Copy falada</x:v>
      </x:c>
      <x:c r="F9" s="16" t="str">
        <x:v>Baixa</x:v>
      </x:c>
      <x:c r="G9" s="16" t="str">
        <x:v>Transcrição automática com trechos possivelmente corrompidos; revisar o áudio antes de reutilizar literalmente.</x:v>
      </x:c>
    </x:row>
    <x:row r="10">
      <x:c r="A10" s="16" t="n">
        <x:v>9</x:v>
      </x:c>
      <x:c r="B10" s="16" t="str">
        <x:v>​7638721302446083336</x:v>
      </x:c>
      <x:c r="C10" s="16" t="str">
        <x:v>https://www.tiktok.com/@dibagi_/video/7638721302446083336</x:v>
      </x:c>
      <x:c r="D10" s="16" t="str">
        <x:v>D:\Projetos\TiktokShop\Transcricoes TikTok 2026-07-27\02_tiktok_7638721302446083336_transcricao.md</x:v>
      </x:c>
      <x:c r="E10" s="16" t="str">
        <x:v>Copy falada</x:v>
      </x:c>
      <x:c r="F10" s="16" t="str">
        <x:v>Baixa</x:v>
      </x:c>
      <x:c r="G10" s="16" t="str">
        <x:v>Transcrição automática com trechos possivelmente corrompidos; revisar o áudio antes de reutilizar literalmente.</x:v>
      </x:c>
    </x:row>
    <x:row r="11">
      <x:c r="A11" s="16" t="n">
        <x:v>10</x:v>
      </x:c>
      <x:c r="B11" s="16" t="str">
        <x:v>​7639488015479377173</x:v>
      </x:c>
      <x:c r="C11" s="16" t="str">
        <x:v>https://www.tiktok.com/@letrends1/video/7639488015479377173</x:v>
      </x:c>
      <x:c r="D11" s="16" t="str">
        <x:v>D:\Projetos\TiktokShop\Transcricoes TikTok 2026-07-27\08_tiktok_7639488015479377173_transcricao.md</x:v>
      </x:c>
      <x:c r="E11" s="16" t="str">
        <x:v>Copy falada</x:v>
      </x:c>
      <x:c r="F11" s="16" t="str">
        <x:v>Baixa</x:v>
      </x:c>
      <x:c r="G11" s="16" t="str">
        <x:v>Transcrição automática com trechos possivelmente corrompidos; revisar o áudio antes de reutilizar literalmente.</x:v>
      </x:c>
    </x:row>
    <x:row r="12">
      <x:c r="A12" s="16" t="n">
        <x:v>11</x:v>
      </x:c>
      <x:c r="B12" s="16" t="str">
        <x:v>​7639532780979801362</x:v>
      </x:c>
      <x:c r="C12" s="16" t="str">
        <x:v>https://www.tiktok.com/@dibagi_/video/7639532780979801362</x:v>
      </x:c>
      <x:c r="D12" s="16" t="str">
        <x:v>D:\Projetos\TiktokShop\Transcricoes TikTok 2026-07-27\09_tiktok_7639532780979801362_transcricao.md</x:v>
      </x:c>
      <x:c r="E12" s="16" t="str">
        <x:v>Copy falada</x:v>
      </x:c>
      <x:c r="F12" s="16" t="str">
        <x:v>Baixa</x:v>
      </x:c>
      <x:c r="G12" s="16" t="str">
        <x:v>Transcrição automática com trechos possivelmente corrompidos; revisar o áudio antes de reutilizar literalmente.</x:v>
      </x:c>
    </x:row>
    <x:row r="13">
      <x:c r="A13" s="16" t="n">
        <x:v>12</x:v>
      </x:c>
      <x:c r="B13" s="16" t="str">
        <x:v>​7646044465316187412</x:v>
      </x:c>
      <x:c r="C13" s="16" t="str">
        <x:v>https://www.tiktok.com/@achadinhos_ju5/video/7646044465316187412</x:v>
      </x:c>
      <x:c r="D13" s="16" t="str">
        <x:v>D:\Projetos\TiktokShop\Transcricoes TikTok 2026-07-27\11_tiktok_7646044465316187412_transcricao.md</x:v>
      </x:c>
      <x:c r="E13" s="16" t="str">
        <x:v>Copy falada</x:v>
      </x:c>
      <x:c r="F13" s="16" t="str">
        <x:v>Baixa</x:v>
      </x:c>
      <x:c r="G13" s="16" t="str">
        <x:v>Transcrição automática com trechos possivelmente corrompidos; revisar o áudio antes de reutilizar literalmente.</x:v>
      </x:c>
    </x:row>
    <x:row r="14">
      <x:c r="A14" s="16" t="n">
        <x:v>13</x:v>
      </x:c>
      <x:c r="B14" s="16" t="str">
        <x:v>​7654391575698607367</x:v>
      </x:c>
      <x:c r="C14" s="16" t="str">
        <x:v>https://www.tiktok.com/@mare.gaab/video/7654391575698607367</x:v>
      </x:c>
      <x:c r="D14" s="16" t="str">
        <x:v>D:\Projetos\TiktokShop\Transcricoes TikTok 2026-07-27\03_tiktok_7654391575698607367_transcricao.md</x:v>
      </x:c>
      <x:c r="E14" s="16" t="str">
        <x:v>Copy falada</x:v>
      </x:c>
      <x:c r="F14" s="16" t="str">
        <x:v>Baixa</x:v>
      </x:c>
      <x:c r="G14" s="16" t="str">
        <x:v>Transcrição automática com trechos possivelmente corrompidos; revisar o áudio antes de reutilizar literalmente.</x:v>
      </x:c>
    </x:row>
    <x:row r="15">
      <x:c r="A15" s="16" t="n">
        <x:v>14</x:v>
      </x:c>
      <x:c r="B15" s="16" t="str">
        <x:v>​7656974534389583124</x:v>
      </x:c>
      <x:c r="C15" s="16" t="str">
        <x:v>https://www.tiktok.com/@leaoamanda_/video/7656974534389583124</x:v>
      </x:c>
      <x:c r="D15" s="16" t="str">
        <x:v>D:\Projetos\TiktokShop\Transcricoes TikTok 2026-07-27\13_tiktok_7656974534389583124_transcricao.md</x:v>
      </x:c>
      <x:c r="E15" s="16" t="str">
        <x:v>Copy falada</x:v>
      </x:c>
      <x:c r="F15" s="16" t="str">
        <x:v>Baixa</x:v>
      </x:c>
      <x:c r="G15" s="16" t="str">
        <x:v>Transcrição automática com trechos possivelmente corrompidos; revisar o áudio antes de reutilizar literalmente.</x:v>
      </x:c>
    </x:row>
    <x:row r="16">
      <x:c r="A16" s="16" t="n">
        <x:v>15</x:v>
      </x:c>
      <x:c r="B16" s="16" t="str">
        <x:v>​7659582874403753236</x:v>
      </x:c>
      <x:c r="C16" s="16" t="str">
        <x:v>https://www.tiktok.com/@isa_deconto/video/7659582874403753236</x:v>
      </x:c>
      <x:c r="D16" s="16" t="str">
        <x:v>D:\Projetos\TiktokShop\Transcricoes TikTok 2026-07-27\01_tiktok_7659582874403753236_transcricao.md</x:v>
      </x:c>
      <x:c r="E16" s="16" t="str">
        <x:v>Copy falada</x:v>
      </x:c>
      <x:c r="F16" s="16" t="str">
        <x:v>Baixa</x:v>
      </x:c>
      <x:c r="G16" s="16" t="str">
        <x:v>Transcrição automática com trechos possivelmente corrompidos; revisar o áudio antes de reutilizar literalmente.</x:v>
      </x:c>
    </x:row>
    <x:row r="17">
      <x:c r="A17" s="16" t="n">
        <x:v>16</x:v>
      </x:c>
      <x:c r="B17" s="16" t="str">
        <x:v>​7668414579935808789</x:v>
      </x:c>
      <x:c r="C17" s="16" t="str">
        <x:v>https://www.tiktok.com/@brunasilvaindica/video/7668414579935808789</x:v>
      </x:c>
      <x:c r="D17" s="16" t="str">
        <x:v>D:\Projetos\TiktokShop\Transcricoes TikTok 2026-08-10\01_tiktok_7668414579935808789_transcricao.md</x:v>
      </x:c>
      <x:c r="E17" s="16" t="str">
        <x:v>Copy falada</x:v>
      </x:c>
      <x:c r="F17" s="16" t="str">
        <x:v>Alta</x:v>
      </x:c>
      <x:c r="G17" s="16" t="str">
        <x:v>Transcrição utilizável como referência editorial; validar alegações comerciais antes de adaptar.</x:v>
      </x:c>
    </x:row>
    <x:row r="18">
      <x:c r="A18" s="16" t="n">
        <x:v>17</x:v>
      </x:c>
      <x:c r="B18" s="16" t="str">
        <x:v>​7672106803261525269</x:v>
      </x:c>
      <x:c r="C18" s="16" t="str">
        <x:v>https://www.tiktok.com/@martinhacreator/video/7672106803261525269</x:v>
      </x:c>
      <x:c r="D18" s="16" t="str">
        <x:v>D:\Projetos\TiktokShop\Transcricoes TikTok 2026-08-10\02_tiktok_7672106803261525269_transcricao.md</x:v>
      </x:c>
      <x:c r="E18" s="16" t="str">
        <x:v>Copy falada</x:v>
      </x:c>
      <x:c r="F18" s="16" t="str">
        <x:v>Alta</x:v>
      </x:c>
      <x:c r="G18" s="16" t="str">
        <x:v>Transcrição utilizável como referência editorial; validar alegações comerciais antes de adaptar.</x:v>
      </x:c>
    </x:row>
    <x:row r="19">
      <x:c r="A19" s="16" t="n">
        <x:v>18</x:v>
      </x:c>
      <x:c r="B19" s="16" t="str">
        <x:v>​7627542684953038087</x:v>
      </x:c>
      <x:c r="C19" s="16" t="str">
        <x:v>https://www.tiktok.com/@diannabie/video/7627542684953038087</x:v>
      </x:c>
      <x:c r="D19" s="16" t="str">
        <x:v>D:\Projetos\TiktokShop\Transcricoes TikTok 2026-08-04\07_tiktok_7627542684953038087_transcricao.md</x:v>
      </x:c>
      <x:c r="E19" s="16" t="str">
        <x:v>Copy falada</x:v>
      </x:c>
      <x:c r="F19" s="16" t="str">
        <x:v>Alta</x:v>
      </x:c>
      <x:c r="G19" s="16" t="str">
        <x:v>Transcrição utilizável como referência editorial; validar alegações comerciais antes de adaptar.</x:v>
      </x:c>
    </x:row>
    <x:row r="20">
      <x:c r="A20" s="16" t="n">
        <x:v>19</x:v>
      </x:c>
      <x:c r="B20" s="16" t="str">
        <x:v>​7628985822221552916</x:v>
      </x:c>
      <x:c r="C20" s="16" t="str">
        <x:v>https://www.tiktok.com/@paalomaoliveiraa/video/7628985822221552916</x:v>
      </x:c>
      <x:c r="D20" s="16" t="str">
        <x:v>D:\Projetos\TiktokShop\Transcricoes TikTok 2026-08-04\11_tiktok_7628985822221552916_transcricao.md</x:v>
      </x:c>
      <x:c r="E20" s="16" t="str">
        <x:v>Copy falada</x:v>
      </x:c>
      <x:c r="F20" s="16" t="str">
        <x:v>Alta</x:v>
      </x:c>
      <x:c r="G20" s="16" t="str">
        <x:v>Transcrição utilizável como referência editorial; validar alegações comerciais antes de adaptar.</x:v>
      </x:c>
    </x:row>
    <x:row r="21">
      <x:c r="A21" s="16" t="n">
        <x:v>20</x:v>
      </x:c>
      <x:c r="B21" s="16" t="str">
        <x:v>​7634731433747156232</x:v>
      </x:c>
      <x:c r="C21" s="16" t="str">
        <x:v>https://www.tiktok.com/@estilocomflora/video/7634731433747156232</x:v>
      </x:c>
      <x:c r="D21" s="16" t="str">
        <x:v>D:\Projetos\TiktokShop\Transcricoes TikTok 2026-08-04\10_tiktok_7634731433747156232_transcricao.md</x:v>
      </x:c>
      <x:c r="E21" s="16" t="str">
        <x:v>Copy falada</x:v>
      </x:c>
      <x:c r="F21" s="16" t="str">
        <x:v>Alta</x:v>
      </x:c>
      <x:c r="G21" s="16" t="str">
        <x:v>Transcrição utilizável como referência editorial; validar alegações comerciais antes de adaptar.</x:v>
      </x:c>
    </x:row>
    <x:row r="22">
      <x:c r="A22" s="16" t="n">
        <x:v>21</x:v>
      </x:c>
      <x:c r="B22" s="16" t="str">
        <x:v>​7645009188519054610</x:v>
      </x:c>
      <x:c r="C22" s="16" t="str">
        <x:v>https://www.tiktok.com/@celmabarbosamateus/video/7645009188519054610</x:v>
      </x:c>
      <x:c r="D22" s="16" t="str">
        <x:v>D:\Projetos\TiktokShop\Transcricoes TikTok 2026-08-04\08_tiktok_7645009188519054610_transcricao.md</x:v>
      </x:c>
      <x:c r="E22" s="16" t="str">
        <x:v>Copy falada</x:v>
      </x:c>
      <x:c r="F22" s="16" t="str">
        <x:v>Alta</x:v>
      </x:c>
      <x:c r="G22" s="16" t="str">
        <x:v>Transcrição utilizável como referência editorial; validar alegações comerciais antes de adaptar.</x:v>
      </x:c>
    </x:row>
    <x:row r="23">
      <x:c r="A23" s="16" t="n">
        <x:v>22</x:v>
      </x:c>
      <x:c r="B23" s="16" t="str">
        <x:v>​7652139665813687573</x:v>
      </x:c>
      <x:c r="C23" s="16" t="str">
        <x:v>https://www.tiktok.com/@carinaba89/video/7652139665813687573</x:v>
      </x:c>
      <x:c r="D23" s="16" t="str">
        <x:v>D:\Projetos\TiktokShop\Transcricoes TikTok 2026-08-04\13_tiktok_7652139665813687573_transcricao.md</x:v>
      </x:c>
      <x:c r="E23" s="16" t="str">
        <x:v>Copy falada</x:v>
      </x:c>
      <x:c r="F23" s="16" t="str">
        <x:v>Alta</x:v>
      </x:c>
      <x:c r="G23" s="16" t="str">
        <x:v>Transcrição utilizável como referência editorial; validar alegações comerciais antes de adaptar.</x:v>
      </x:c>
    </x:row>
    <x:row r="24">
      <x:c r="A24" s="16" t="n">
        <x:v>23</x:v>
      </x:c>
      <x:c r="B24" s="16" t="str">
        <x:v>​7657650510194871572</x:v>
      </x:c>
      <x:c r="C24" s="16" t="str">
        <x:v>https://www.tiktok.com/@meeryrocha/video/7657650510194871572</x:v>
      </x:c>
      <x:c r="D24" s="16" t="str">
        <x:v>D:\Projetos\TiktokShop\Transcricoes TikTok 2026-08-04\05_tiktok_7657650510194871572_transcricao.md</x:v>
      </x:c>
      <x:c r="E24" s="16" t="str">
        <x:v>Copy falada</x:v>
      </x:c>
      <x:c r="F24" s="16" t="str">
        <x:v>Alta</x:v>
      </x:c>
      <x:c r="G24" s="16" t="str">
        <x:v>Transcrição utilizável como referência editorial; validar alegações comerciais antes de adaptar.</x:v>
      </x:c>
    </x:row>
    <x:row r="25">
      <x:c r="A25" s="16" t="n">
        <x:v>24</x:v>
      </x:c>
      <x:c r="B25" s="16" t="str">
        <x:v>​7658078417153248532</x:v>
      </x:c>
      <x:c r="C25" s="16" t="str">
        <x:v>https://www.tiktok.com/@meeryrocha/video/7658078417153248532</x:v>
      </x:c>
      <x:c r="D25" s="16" t="str">
        <x:v>D:\Projetos\TiktokShop\Transcricoes TikTok 2026-08-04\02_tiktok_7658078417153248532_transcricao.md</x:v>
      </x:c>
      <x:c r="E25" s="16" t="str">
        <x:v>Copy falada</x:v>
      </x:c>
      <x:c r="F25" s="16" t="str">
        <x:v>Alta</x:v>
      </x:c>
      <x:c r="G25" s="16" t="str">
        <x:v>Transcrição utilizável como referência editorial; validar alegações comerciais antes de adaptar.</x:v>
      </x:c>
    </x:row>
    <x:row r="26">
      <x:c r="A26" s="16" t="n">
        <x:v>25</x:v>
      </x:c>
      <x:c r="B26" s="16" t="str">
        <x:v>​7658266454617361671</x:v>
      </x:c>
      <x:c r="C26" s="16" t="str">
        <x:v>https://www.tiktok.com/@nycollelimaa/video/7658266454617361671</x:v>
      </x:c>
      <x:c r="D26" s="16" t="str">
        <x:v>D:\Projetos\TiktokShop\Transcricoes TikTok 2026-08-04\06_tiktok_7658266454617361671_transcricao.md</x:v>
      </x:c>
      <x:c r="E26" s="16" t="str">
        <x:v>Copy falada</x:v>
      </x:c>
      <x:c r="F26" s="16" t="str">
        <x:v>Alta</x:v>
      </x:c>
      <x:c r="G26" s="16" t="str">
        <x:v>Transcrição utilizável como referência editorial; validar alegações comerciais antes de adaptar.</x:v>
      </x:c>
    </x:row>
    <x:row r="27">
      <x:c r="A27" s="16" t="n">
        <x:v>26</x:v>
      </x:c>
      <x:c r="B27" s="16" t="str">
        <x:v>​7661821903820049685</x:v>
      </x:c>
      <x:c r="C27" s="16" t="str">
        <x:v>https://www.tiktok.com/@meeryrocha/video/7661821903820049685</x:v>
      </x:c>
      <x:c r="D27" s="16" t="str">
        <x:v>D:\Projetos\TiktokShop\Transcricoes TikTok 2026-08-04\03_tiktok_7661821903820049685_transcricao.md</x:v>
      </x:c>
      <x:c r="E27" s="16" t="str">
        <x:v>Copy falada</x:v>
      </x:c>
      <x:c r="F27" s="16" t="str">
        <x:v>Alta</x:v>
      </x:c>
      <x:c r="G27" s="16" t="str">
        <x:v>Transcrição utilizável como referência editorial; validar alegações comerciais antes de adaptar.</x:v>
      </x:c>
    </x:row>
    <x:row r="28">
      <x:c r="A28" s="16" t="n">
        <x:v>27</x:v>
      </x:c>
      <x:c r="B28" s="16" t="str">
        <x:v>​7663238670257868039</x:v>
      </x:c>
      <x:c r="C28" s="16" t="str">
        <x:v>https://www.tiktok.com/@compradagata/video/7663238670257868039</x:v>
      </x:c>
      <x:c r="D28" s="16" t="str">
        <x:v>D:\Projetos\TiktokShop\Transcricoes TikTok 2026-08-04\16_tiktok_7663238670257868039_sem_copy.md</x:v>
      </x:c>
      <x:c r="E28" s="16" t="str">
        <x:v>Sem copy falada</x:v>
      </x:c>
      <x:c r="F28" s="16" t="str">
        <x:v>N/A</x:v>
      </x:c>
      <x:c r="G28" s="16" t="str">
        <x:v>Não há copy falada confiável; usar somente como referência visual/textual.</x:v>
      </x:c>
    </x:row>
    <x:row r="29">
      <x:c r="A29" s="16" t="n">
        <x:v>28</x:v>
      </x:c>
      <x:c r="B29" s="16" t="str">
        <x:v>​7663556817318006023</x:v>
      </x:c>
      <x:c r="C29" s="16" t="str">
        <x:v>https://www.tiktok.com/@nycollelimaa/video/7663556817318006023</x:v>
      </x:c>
      <x:c r="D29" s="16" t="str">
        <x:v>D:\Projetos\TiktokShop\Transcricoes TikTok 2026-08-04\04_tiktok_7663556817318006023_transcricao.md</x:v>
      </x:c>
      <x:c r="E29" s="16" t="str">
        <x:v>Copy falada</x:v>
      </x:c>
      <x:c r="F29" s="16" t="str">
        <x:v>Alta</x:v>
      </x:c>
      <x:c r="G29" s="16" t="str">
        <x:v>Transcrição utilizável como referência editorial; validar alegações comerciais antes de adaptar.</x:v>
      </x:c>
    </x:row>
    <x:row r="30">
      <x:c r="A30" s="16" t="n">
        <x:v>29</x:v>
      </x:c>
      <x:c r="B30" s="16" t="str">
        <x:v>​7665004158394666248</x:v>
      </x:c>
      <x:c r="C30" s="16" t="str">
        <x:v>https://www.tiktok.com/@nycollelimaa/video/7665004158394666248</x:v>
      </x:c>
      <x:c r="D30" s="16" t="str">
        <x:v>D:\Projetos\TiktokShop\Transcricoes TikTok 2026-08-04\17_tiktok_7665004158394666248_transcricao.md</x:v>
      </x:c>
      <x:c r="E30" s="16" t="str">
        <x:v>Copy falada</x:v>
      </x:c>
      <x:c r="F30" s="16" t="str">
        <x:v>Alta</x:v>
      </x:c>
      <x:c r="G30" s="16" t="str">
        <x:v>Transcrição utilizável como referência editorial; validar alegações comerciais antes de adaptar.</x:v>
      </x:c>
    </x:row>
    <x:row r="31">
      <x:c r="A31" s="16" t="n">
        <x:v>30</x:v>
      </x:c>
      <x:c r="B31" s="16" t="str">
        <x:v>​7665421947328630023</x:v>
      </x:c>
      <x:c r="C31" s="16" t="str">
        <x:v>https://www.tiktok.com/@estheralg/video/7665421947328630023</x:v>
      </x:c>
      <x:c r="D31" s="16" t="str">
        <x:v>D:\Projetos\TiktokShop\Transcricoes TikTok 2026-08-04\01_tiktok_7665421947328630023_transcricao.md</x:v>
      </x:c>
      <x:c r="E31" s="16" t="str">
        <x:v>Copy falada</x:v>
      </x:c>
      <x:c r="F31" s="16" t="str">
        <x:v>Alta</x:v>
      </x:c>
      <x:c r="G31" s="16" t="str">
        <x:v>Transcrição utilizável como referência editorial; validar alegações comerciais antes de adaptar.</x:v>
      </x:c>
    </x:row>
    <x:row r="32">
      <x:c r="A32" s="16" t="n">
        <x:v>31</x:v>
      </x:c>
      <x:c r="B32" s="16" t="str">
        <x:v>​7665500601802870037</x:v>
      </x:c>
      <x:c r="C32" s="16" t="str">
        <x:v>https://www.tiktok.com/@meeryrocha/video/7665500601802870037</x:v>
      </x:c>
      <x:c r="D32" s="16" t="str">
        <x:v>D:\Projetos\TiktokShop\Transcricoes TikTok 2026-08-04\19_tiktok_7665500601802870037_transcricao.md</x:v>
      </x:c>
      <x:c r="E32" s="16" t="str">
        <x:v>Copy falada</x:v>
      </x:c>
      <x:c r="F32" s="16" t="str">
        <x:v>Alta</x:v>
      </x:c>
      <x:c r="G32" s="16" t="str">
        <x:v>Transcrição utilizável como referência editorial; validar alegações comerciais antes de adaptar.</x:v>
      </x:c>
    </x:row>
    <x:row r="33">
      <x:c r="A33" s="16" t="n">
        <x:v>32</x:v>
      </x:c>
      <x:c r="B33" s="16" t="str">
        <x:v>​7666837036673879304</x:v>
      </x:c>
      <x:c r="C33" s="16" t="str">
        <x:v>https://www.tiktok.com/@jaquelinetavares010/video/7666837036673879304</x:v>
      </x:c>
      <x:c r="D33" s="16" t="str">
        <x:v>D:\Projetos\TiktokShop\Transcricoes TikTok 2026-08-04\12_tiktok_7666837036673879304_transcricao.md</x:v>
      </x:c>
      <x:c r="E33" s="16" t="str">
        <x:v>Copy falada</x:v>
      </x:c>
      <x:c r="F33" s="16" t="str">
        <x:v>Alta</x:v>
      </x:c>
      <x:c r="G33" s="16" t="str">
        <x:v>Transcrição utilizável como referência editorial; validar alegações comerciais antes de adaptar.</x:v>
      </x:c>
    </x:row>
    <x:row r="34">
      <x:c r="A34" s="16" t="n">
        <x:v>33</x:v>
      </x:c>
      <x:c r="B34" s="16" t="str">
        <x:v>​7666948943414136082</x:v>
      </x:c>
      <x:c r="C34" s="16" t="str">
        <x:v>https://www.tiktok.com/@nycollelimaa/video/7666948943414136082</x:v>
      </x:c>
      <x:c r="D34" s="16" t="str">
        <x:v>D:\Projetos\TiktokShop\Transcricoes TikTok 2026-08-04\18_tiktok_7666948943414136082_transcricao.md</x:v>
      </x:c>
      <x:c r="E34" s="16" t="str">
        <x:v>Copy falada</x:v>
      </x:c>
      <x:c r="F34" s="16" t="str">
        <x:v>Baixa</x:v>
      </x:c>
      <x:c r="G34" s="16" t="str">
        <x:v>Transcrição automática com trechos possivelmente corrompidos; revisar o áudio antes de reutilizar literalmente.</x:v>
      </x:c>
    </x:row>
    <x:row r="35">
      <x:c r="A35" s="16" t="n">
        <x:v>34</x:v>
      </x:c>
      <x:c r="B35" s="16" t="str">
        <x:v>​7667633710447136008</x:v>
      </x:c>
      <x:c r="C35" s="16" t="str">
        <x:v>https://www.tiktok.com/@nycollelimaa/video/7667633710447136008</x:v>
      </x:c>
      <x:c r="D35" s="16" t="str">
        <x:v>D:\Projetos\TiktokShop\Transcricoes TikTok 2026-08-04\14_tiktok_7667633710447136008_transcricao.md</x:v>
      </x:c>
      <x:c r="E35" s="16" t="str">
        <x:v>Copy falada</x:v>
      </x:c>
      <x:c r="F35" s="16" t="str">
        <x:v>Alta</x:v>
      </x:c>
      <x:c r="G35" s="16" t="str">
        <x:v>Transcrição utilizável como referência editorial; validar alegações comerciais antes de adaptar.</x:v>
      </x:c>
    </x:row>
    <x:row r="36">
      <x:c r="A36" s="16" t="n">
        <x:v>35</x:v>
      </x:c>
      <x:c r="B36" s="16" t="str">
        <x:v>​7668272560206794002</x:v>
      </x:c>
      <x:c r="C36" s="16" t="str">
        <x:v>https://www.tiktok.com/@nycollelimaa/video/7668272560206794002</x:v>
      </x:c>
      <x:c r="D36" s="16" t="str">
        <x:v>D:\Projetos\TiktokShop\Transcricoes TikTok 2026-08-04\09_tiktok_7668272560206794002_transcricao.md</x:v>
      </x:c>
      <x:c r="E36" s="16" t="str">
        <x:v>Copy falada</x:v>
      </x:c>
      <x:c r="F36" s="16" t="str">
        <x:v>Alta</x:v>
      </x:c>
      <x:c r="G36" s="16" t="str">
        <x:v>Transcrição utilizável como referência editorial; validar alegações comerciais antes de adaptar.</x:v>
      </x:c>
    </x:row>
    <x:row r="37">
      <x:c r="A37" s="16" t="n">
        <x:v>36</x:v>
      </x:c>
      <x:c r="B37" s="16" t="str">
        <x:v>​7668776822292712724</x:v>
      </x:c>
      <x:c r="C37" s="16" t="str">
        <x:v>https://www.tiktok.com/@soucarolmoreno/video/7668776822292712724</x:v>
      </x:c>
      <x:c r="D37" s="16" t="str">
        <x:v>D:\Projetos\TiktokShop\Transcricoes TikTok 2026-08-04\15_tiktok_7668776822292712724_transcricao.md</x:v>
      </x:c>
      <x:c r="E37" s="16" t="str">
        <x:v>Copy falada</x:v>
      </x:c>
      <x:c r="F37" s="16" t="str">
        <x:v>Alta</x:v>
      </x:c>
      <x:c r="G37" s="16" t="str">
        <x:v>Transcrição utilizável como referência editorial; validar alegações comerciais antes de adaptar.</x:v>
      </x:c>
    </x:row>
    <x:row r="38">
      <x:c r="A38" s="16" t="n">
        <x:v>37</x:v>
      </x:c>
      <x:c r="B38" s="16" t="str">
        <x:v>​7656174686430154005</x:v>
      </x:c>
      <x:c r="C38" s="16" t="str">
        <x:v>https://www.tiktok.com/@carlabrunoassis/video/7656174686430154005</x:v>
      </x:c>
      <x:c r="D38" s="16" t="str">
        <x:v>D:\Projetos\TiktokShop\Transcricao TikTok 2026-08-03 carlabrunoassis 7656174686430154005\01_tiktok_7656174686430154005_transcricao.md</x:v>
      </x:c>
      <x:c r="E38" s="16" t="str">
        <x:v>Copy falada</x:v>
      </x:c>
      <x:c r="F38" s="16" t="str">
        <x:v>Alta</x:v>
      </x:c>
      <x:c r="G38" s="16" t="str">
        <x:v>Transcrição utilizável como referência editorial; validar alegações comerciais antes de adaptar.</x:v>
      </x:c>
    </x:row>
    <x:row r="39">
      <x:c r="A39" s="16" t="n">
        <x:v>38</x:v>
      </x:c>
      <x:c r="B39" s="16" t="str">
        <x:v>​7621919530511650068</x:v>
      </x:c>
      <x:c r="C39" s="16" t="str">
        <x:v>https://www.tiktok.com/@suhvrubleski/video/7621919530511650068</x:v>
      </x:c>
      <x:c r="D39" s="16" t="str">
        <x:v>D:\Projetos\TiktokShop\Transcricoes TikTok 2026-08-11\00_analise_consolidada.md</x:v>
      </x:c>
      <x:c r="E39" s="16" t="str">
        <x:v>Resumo estruturado; copy literal indisponível</x:v>
      </x:c>
      <x:c r="F39" s="16" t="str">
        <x:v>Estrutural</x:v>
      </x:c>
      <x:c r="G39" s="16" t="str">
        <x:v>Estrutura derivada do relatório consolidado; não tratar como transcrição literal.</x:v>
      </x:c>
    </x:row>
    <x:row r="40">
      <x:c r="A40" s="16" t="n">
        <x:v>39</x:v>
      </x:c>
      <x:c r="B40" s="16" t="str">
        <x:v>​7647264597598113044</x:v>
      </x:c>
      <x:c r="C40" s="16" t="str">
        <x:v>https://www.tiktok.com/@llyssdaily/video/7647264597598113044</x:v>
      </x:c>
      <x:c r="D40" s="16" t="str">
        <x:v>D:\Projetos\TiktokShop\Transcricoes TikTok 2026-08-11\00_analise_consolidada.md</x:v>
      </x:c>
      <x:c r="E40" s="16" t="str">
        <x:v>Resumo estruturado; copy literal indisponível</x:v>
      </x:c>
      <x:c r="F40" s="16" t="str">
        <x:v>Estrutural</x:v>
      </x:c>
      <x:c r="G40" s="16" t="str">
        <x:v>Estrutura derivada do relatório consolidado; não tratar como transcrição literal.</x:v>
      </x:c>
    </x:row>
    <x:row r="41">
      <x:c r="A41" s="16" t="n">
        <x:v>40</x:v>
      </x:c>
      <x:c r="B41" s="16" t="str">
        <x:v>​7653117812482919688</x:v>
      </x:c>
      <x:c r="C41" s="16" t="str">
        <x:v>https://www.tiktok.com/@jessicaandrade333/video/7653117812482919688</x:v>
      </x:c>
      <x:c r="D41" s="16" t="str">
        <x:v>D:\Projetos\TiktokShop\Transcricoes TikTok 2026-08-11\00_analise_consolidada.md</x:v>
      </x:c>
      <x:c r="E41" s="16" t="str">
        <x:v>Sem copy falada; texto visual estruturado</x:v>
      </x:c>
      <x:c r="F41" s="16" t="str">
        <x:v>Estrutural</x:v>
      </x:c>
      <x:c r="G41" s="16" t="str">
        <x:v>Não há copy falada confiável; usar somente como referência visual/textual.</x:v>
      </x:c>
    </x:row>
    <x:row r="42">
      <x:c r="A42" s="16" t="n">
        <x:v>41</x:v>
      </x:c>
      <x:c r="B42" s="16" t="str">
        <x:v>​7653487619380202772</x:v>
      </x:c>
      <x:c r="C42" s="16" t="str">
        <x:v>https://www.tiktok.com/@natheluy/video/7653487619380202772</x:v>
      </x:c>
      <x:c r="D42" s="16" t="str">
        <x:v>D:\Projetos\TiktokShop\Transcricoes TikTok 2026-08-11\00_analise_consolidada.md</x:v>
      </x:c>
      <x:c r="E42" s="16" t="str">
        <x:v>Resumo estruturado; copy literal indisponível</x:v>
      </x:c>
      <x:c r="F42" s="16" t="str">
        <x:v>Estrutural</x:v>
      </x:c>
      <x:c r="G42" s="16" t="str">
        <x:v>Estrutura derivada do relatório consolidado; não tratar como transcrição literal.</x:v>
      </x:c>
    </x:row>
    <x:row r="43">
      <x:c r="A43" s="16" t="n">
        <x:v>42</x:v>
      </x:c>
      <x:c r="B43" s="16" t="str">
        <x:v>​7655419776734334228</x:v>
      </x:c>
      <x:c r="C43" s="16" t="str">
        <x:v>https://www.tiktok.com/@natheluy/video/7655419776734334228</x:v>
      </x:c>
      <x:c r="D43" s="16" t="str">
        <x:v>D:\Projetos\TiktokShop\Transcricoes TikTok 2026-08-11\00_analise_consolidada.md</x:v>
      </x:c>
      <x:c r="E43" s="16" t="str">
        <x:v>Resumo estruturado; copy literal indisponível</x:v>
      </x:c>
      <x:c r="F43" s="16" t="str">
        <x:v>Estrutural</x:v>
      </x:c>
      <x:c r="G43" s="16" t="str">
        <x:v>Estrutura derivada do relatório consolidado; não tratar como transcrição literal.</x:v>
      </x:c>
    </x:row>
    <x:row r="44">
      <x:c r="A44" s="16" t="n">
        <x:v>43</x:v>
      </x:c>
      <x:c r="B44" s="16" t="str">
        <x:v>​7660243292377959687</x:v>
      </x:c>
      <x:c r="C44" s="16" t="str">
        <x:v>https://www.tiktok.com/@dicasjessicaimprota/video/7660243292377959687</x:v>
      </x:c>
      <x:c r="D44" s="16" t="str">
        <x:v>D:\Projetos\TiktokShop\Transcricoes TikTok 2026-08-11\00_analise_consolidada.md</x:v>
      </x:c>
      <x:c r="E44" s="16" t="str">
        <x:v>Resumo estruturado; copy literal indisponível</x:v>
      </x:c>
      <x:c r="F44" s="16" t="str">
        <x:v>Estrutural</x:v>
      </x:c>
      <x:c r="G44" s="16" t="str">
        <x:v>Estrutura derivada do relatório consolidado; não tratar como transcrição literal.</x:v>
      </x:c>
    </x:row>
    <x:row r="45">
      <x:c r="A45" s="16" t="n">
        <x:v>44</x:v>
      </x:c>
      <x:c r="B45" s="16" t="str">
        <x:v>​7663742403920022802</x:v>
      </x:c>
      <x:c r="C45" s="16" t="str">
        <x:v>https://www.tiktok.com/@kamilla_ofc_/video/7663742403920022802</x:v>
      </x:c>
      <x:c r="D45" s="16" t="str">
        <x:v>D:\Projetos\TiktokShop\Transcricoes TikTok 2026-08-11\00_analise_consolidada.md</x:v>
      </x:c>
      <x:c r="E45" s="16" t="str">
        <x:v>Sem copy falada; texto visual estruturado</x:v>
      </x:c>
      <x:c r="F45" s="16" t="str">
        <x:v>Estrutural</x:v>
      </x:c>
      <x:c r="G45" s="16" t="str">
        <x:v>Não há copy falada confiável; usar somente como referência visual/textual.</x:v>
      </x:c>
    </x:row>
    <x:row r="46">
      <x:c r="A46" s="16" t="n">
        <x:v>45</x:v>
      </x:c>
      <x:c r="B46" s="16" t="str">
        <x:v>​7666099558031609095</x:v>
      </x:c>
      <x:c r="C46" s="16" t="str">
        <x:v>https://www.tiktok.com/@dicasjessicaimprota/video/7666099558031609095</x:v>
      </x:c>
      <x:c r="D46" s="16" t="str">
        <x:v>D:\Projetos\TiktokShop\Transcricoes TikTok 2026-08-11\00_analise_consolidada.md</x:v>
      </x:c>
      <x:c r="E46" s="16" t="str">
        <x:v>Resumo estruturado; copy literal indisponível</x:v>
      </x:c>
      <x:c r="F46" s="16" t="str">
        <x:v>Estrutural</x:v>
      </x:c>
      <x:c r="G46" s="16" t="str">
        <x:v>Estrutura derivada do relatório consolidado; não tratar como transcrição literal.</x:v>
      </x:c>
    </x:row>
    <x:row r="47">
      <x:c r="A47" s="16" t="n">
        <x:v>46</x:v>
      </x:c>
      <x:c r="B47" s="16" t="str">
        <x:v>​7666990429929278740</x:v>
      </x:c>
      <x:c r="C47" s="16" t="str">
        <x:v>https://www.tiktok.com/@rafaduartezx/video/7666990429929278740</x:v>
      </x:c>
      <x:c r="D47" s="16" t="str">
        <x:v>D:\Projetos\TiktokShop\Transcricoes TikTok 2026-08-11\00_analise_consolidada.md</x:v>
      </x:c>
      <x:c r="E47" s="16" t="str">
        <x:v>Resumo estruturado; copy literal indisponível</x:v>
      </x:c>
      <x:c r="F47" s="16" t="str">
        <x:v>Estrutural</x:v>
      </x:c>
      <x:c r="G47" s="16" t="str">
        <x:v>Estrutura derivada do relatório consolidado; não tratar como transcrição literal.</x:v>
      </x:c>
    </x:row>
    <x:row r="48">
      <x:c r="A48" s="16" t="n">
        <x:v>47</x:v>
      </x:c>
      <x:c r="B48" s="16" t="str">
        <x:v>​7667944020026346772</x:v>
      </x:c>
      <x:c r="C48" s="16" t="str">
        <x:v>https://www.tiktok.com/@rafaduartezx/video/7667944020026346772</x:v>
      </x:c>
      <x:c r="D48" s="16" t="str">
        <x:v>D:\Projetos\TiktokShop\Transcricoes TikTok 2026-08-11\00_analise_consolidada.md</x:v>
      </x:c>
      <x:c r="E48" s="16" t="str">
        <x:v>Resumo estruturado; copy literal indisponível</x:v>
      </x:c>
      <x:c r="F48" s="16" t="str">
        <x:v>Estrutural</x:v>
      </x:c>
      <x:c r="G48" s="16" t="str">
        <x:v>Estrutura derivada do relatório consolidado; não tratar como transcrição literal.</x:v>
      </x:c>
    </x:row>
    <x:row r="49">
      <x:c r="A49" s="16" t="n">
        <x:v>48</x:v>
      </x:c>
      <x:c r="B49" s="16" t="str">
        <x:v>​7669558622136978696</x:v>
      </x:c>
      <x:c r="C49" s="16" t="str">
        <x:v>https://www.tiktok.com/@diariodafazendeira2/video/7669558622136978696</x:v>
      </x:c>
      <x:c r="D49" s="16" t="str">
        <x:v>D:\Projetos\TiktokShop\Transcricao TikTok 2026-08-11 diariodafazendeira2 7669558622136978696\01_tiktok_7669558622136978696_transcricao.md</x:v>
      </x:c>
      <x:c r="E49" s="16" t="str">
        <x:v>Copy falada</x:v>
      </x:c>
      <x:c r="F49" s="16" t="str">
        <x:v>Alta</x:v>
      </x:c>
      <x:c r="G49" s="16" t="str">
        <x:v>Transcrição utilizável como referência editorial; validar alegações comerciais antes de adaptar.</x:v>
      </x:c>
    </x:row>
    <x:row r="50">
      <x:c r="A50" s="16" t="n">
        <x:v>49</x:v>
      </x:c>
      <x:c r="B50" s="16" t="str">
        <x:v>​7651252361238695186</x:v>
      </x:c>
      <x:c r="C50" s="16" t="str">
        <x:v>https://www.tiktok.com/@luanapriscila27/video/7651252361238695186</x:v>
      </x:c>
      <x:c r="D50" s="16" t="str">
        <x:v>D:\Projetos\TiktokShop\Fatiador Legumes Kitop\tiktok_7651252361238695186_transcricao.md</x:v>
      </x:c>
      <x:c r="E50" s="16" t="str">
        <x:v>Copy falada</x:v>
      </x:c>
      <x:c r="F50" s="16" t="str">
        <x:v>Alta</x:v>
      </x:c>
      <x:c r="G50" s="16" t="str">
        <x:v>Transcrição utilizável como referência editorial; validar alegações comerciais antes de adaptar.</x:v>
      </x:c>
    </x:row>
    <x:row r="51">
      <x:c r="A51" s="16" t="n">
        <x:v>50</x:v>
      </x:c>
      <x:c r="B51" s="16" t="str">
        <x:v>​7650992235663641874</x:v>
      </x:c>
      <x:c r="C51" s="16" t="str">
        <x:v>https://www.tiktok.com/@promocaonaveia/video/7650992235663641874</x:v>
      </x:c>
      <x:c r="D51" s="16" t="str">
        <x:v>D:\Projetos\TiktokShop\Transcricoes TikTok 2026-07-07\tiktok_7650992235663641874_transcricao.md</x:v>
      </x:c>
      <x:c r="E51" s="16" t="str">
        <x:v>Sem copy falada</x:v>
      </x:c>
      <x:c r="F51" s="16" t="str">
        <x:v>N/A</x:v>
      </x:c>
      <x:c r="G51" s="16" t="str">
        <x:v>Não há copy falada confiável; usar somente como referência visual/textual.</x:v>
      </x:c>
    </x:row>
    <x:row r="52">
      <x:c r="A52" s="16" t="n">
        <x:v>51</x:v>
      </x:c>
      <x:c r="B52" s="16" t="str">
        <x:v>​7651690187260546324</x:v>
      </x:c>
      <x:c r="C52" s="16" t="str">
        <x:v>https://www.tiktok.com/@cris.indiica/video/7651690187260546324</x:v>
      </x:c>
      <x:c r="D52" s="16" t="str">
        <x:v>D:\Projetos\TiktokShop\Transcricoes TikTok 2026-07-07\tiktok_7651690187260546324_transcricao.md</x:v>
      </x:c>
      <x:c r="E52" s="16" t="str">
        <x:v>Sem copy falada</x:v>
      </x:c>
      <x:c r="F52" s="16" t="str">
        <x:v>N/A</x:v>
      </x:c>
      <x:c r="G52" s="16" t="str">
        <x:v>Não há copy falada confiável; usar somente como referência visual/textual.</x:v>
      </x:c>
    </x:row>
    <x:row r="53">
      <x:c r="A53" s="16" t="n">
        <x:v>52</x:v>
      </x:c>
      <x:c r="B53" s="16" t="str">
        <x:v>​7652124032891981064</x:v>
      </x:c>
      <x:c r="C53" s="16" t="str">
        <x:v>https://www.tiktok.com/@cris.indiica/video/7652124032891981064</x:v>
      </x:c>
      <x:c r="D53" s="16" t="str">
        <x:v>D:\Projetos\TiktokShop\Transcricoes TikTok 2026-07-07\tiktok_7652124032891981064_transcricao.md</x:v>
      </x:c>
      <x:c r="E53" s="16" t="str">
        <x:v>Sem copy falada</x:v>
      </x:c>
      <x:c r="F53" s="16" t="str">
        <x:v>N/A</x:v>
      </x:c>
      <x:c r="G53" s="16" t="str">
        <x:v>Não há copy falada confiável; usar somente como referência visual/textual.</x:v>
      </x:c>
    </x:row>
    <x:row r="54">
      <x:c r="A54" s="16" t="n">
        <x:v>53</x:v>
      </x:c>
      <x:c r="B54" s="16" t="str">
        <x:v>​7654105916635221269</x:v>
      </x:c>
      <x:c r="C54" s="16" t="str">
        <x:v>https://www.tiktok.com/@kelly.oliveiraa2/video/7654105916635221269</x:v>
      </x:c>
      <x:c r="D54" s="16" t="str">
        <x:v>D:\Projetos\TiktokShop\Transcricoes TikTok 2026-07-07\tiktok_7654105916635221269_transcricao.md</x:v>
      </x:c>
      <x:c r="E54" s="16" t="str">
        <x:v>Copy falada</x:v>
      </x:c>
      <x:c r="F54" s="16" t="str">
        <x:v>Alta</x:v>
      </x:c>
      <x:c r="G54" s="16" t="str">
        <x:v>Transcrição utilizável como referência editorial; validar alegações comerciais antes de adaptar.</x:v>
      </x:c>
    </x:row>
    <x:row r="55">
      <x:c r="A55" s="16" t="n">
        <x:v>54</x:v>
      </x:c>
      <x:c r="B55" s="16" t="str">
        <x:v>​7654161058545913096</x:v>
      </x:c>
      <x:c r="C55" s="16" t="str">
        <x:v>https://www.tiktok.com/@vj7vcf7/video/7654161058545913096</x:v>
      </x:c>
      <x:c r="D55" s="16" t="str">
        <x:v>D:\Projetos\TiktokShop\Transcricoes TikTok 2026-07-07\tiktok_7654161058545913096_transcricao.md</x:v>
      </x:c>
      <x:c r="E55" s="16" t="str">
        <x:v>Copy falada</x:v>
      </x:c>
      <x:c r="F55" s="16" t="str">
        <x:v>Alta</x:v>
      </x:c>
      <x:c r="G55" s="16" t="str">
        <x:v>Transcrição utilizável como referência editorial; validar alegações comerciais antes de adaptar.</x:v>
      </x:c>
    </x:row>
    <x:row r="56">
      <x:c r="A56" s="16" t="n">
        <x:v>55</x:v>
      </x:c>
      <x:c r="B56" s="16" t="str">
        <x:v>​7654230036014206229</x:v>
      </x:c>
      <x:c r="C56" s="16" t="str">
        <x:v>https://www.tiktok.com/@kelly.oliveiraa2/video/7654230036014206229</x:v>
      </x:c>
      <x:c r="D56" s="16" t="str">
        <x:v>D:\Projetos\TiktokShop\Transcricoes TikTok 2026-07-07\tiktok_7654230036014206229_transcricao.md</x:v>
      </x:c>
      <x:c r="E56" s="16" t="str">
        <x:v>Copy falada</x:v>
      </x:c>
      <x:c r="F56" s="16" t="str">
        <x:v>Alta</x:v>
      </x:c>
      <x:c r="G56" s="16" t="str">
        <x:v>Transcrição utilizável como referência editorial; validar alegações comerciais antes de adaptar.</x:v>
      </x:c>
    </x:row>
    <x:row r="57">
      <x:c r="A57" s="16" t="n">
        <x:v>56</x:v>
      </x:c>
      <x:c r="B57" s="16" t="str">
        <x:v>​7655920266190703892</x:v>
      </x:c>
      <x:c r="C57" s="16" t="str">
        <x:v>https://www.tiktok.com/@glaucia.martins50/video/7655920266190703892</x:v>
      </x:c>
      <x:c r="D57" s="16" t="str">
        <x:v>D:\Projetos\TiktokShop\Transcricoes TikTok 2026-07-07\tiktok_7655920266190703892_transcricao.md</x:v>
      </x:c>
      <x:c r="E57" s="16" t="str">
        <x:v>Sem copy falada</x:v>
      </x:c>
      <x:c r="F57" s="16" t="str">
        <x:v>N/A</x:v>
      </x:c>
      <x:c r="G57" s="16" t="str">
        <x:v>Não há copy falada confiável; usar somente como referência visual/textual.</x:v>
      </x:c>
    </x:row>
    <x:row r="58">
      <x:c r="A58" s="16" t="n">
        <x:v>57</x:v>
      </x:c>
      <x:c r="B58" s="16" t="str">
        <x:v>​7656130920914734344</x:v>
      </x:c>
      <x:c r="C58" s="16" t="str">
        <x:v>https://www.tiktok.com/@garimposdanimoser/video/7656130920914734344</x:v>
      </x:c>
      <x:c r="D58" s="16" t="str">
        <x:v>D:\Projetos\TiktokShop\Transcricoes TikTok 2026-07-07\tiktok_7656130920914734344_transcricao.md</x:v>
      </x:c>
      <x:c r="E58" s="16" t="str">
        <x:v>Copy falada</x:v>
      </x:c>
      <x:c r="F58" s="16" t="str">
        <x:v>Alta</x:v>
      </x:c>
      <x:c r="G58" s="16" t="str">
        <x:v>Transcrição utilizável como referência editorial; validar alegações comerciais antes de adaptar.</x:v>
      </x:c>
    </x:row>
    <x:row r="59">
      <x:c r="A59" s="16" t="n">
        <x:v>58</x:v>
      </x:c>
      <x:c r="B59" s="16" t="str">
        <x:v>​7656442067308104980</x:v>
      </x:c>
      <x:c r="C59" s="16" t="str">
        <x:v>https://www.tiktok.com/@cris.indiica/video/7656442067308104980</x:v>
      </x:c>
      <x:c r="D59" s="16" t="str">
        <x:v>D:\Projetos\TiktokShop\Transcricoes TikTok 2026-07-07\tiktok_7656442067308104980_transcricao.md</x:v>
      </x:c>
      <x:c r="E59" s="16" t="str">
        <x:v>Sem copy falada</x:v>
      </x:c>
      <x:c r="F59" s="16" t="str">
        <x:v>N/A</x:v>
      </x:c>
      <x:c r="G59" s="16" t="str">
        <x:v>Não há copy falada confiável; usar somente como referência visual/textual.</x:v>
      </x:c>
    </x:row>
    <x:row r="60">
      <x:c r="A60" s="16" t="n">
        <x:v>59</x:v>
      </x:c>
      <x:c r="B60" s="16" t="str">
        <x:v>​7657719918648986901</x:v>
      </x:c>
      <x:c r="C60" s="16" t="str">
        <x:v>https://www.tiktok.com/@adayrecomenda/video/7657719918648986901</x:v>
      </x:c>
      <x:c r="D60" s="16" t="str">
        <x:v>D:\Projetos\TiktokShop\Transcricoes TikTok 2026-07-07\tiktok_7657719918648986901_transcricao.md</x:v>
      </x:c>
      <x:c r="E60" s="16" t="str">
        <x:v>Copy falada</x:v>
      </x:c>
      <x:c r="F60" s="16" t="str">
        <x:v>Alta</x:v>
      </x:c>
      <x:c r="G60" s="16" t="str">
        <x:v>Transcrição utilizável como referência editorial; validar alegações comerciais antes de adaptar.</x:v>
      </x:c>
    </x:row>
    <x:row r="61">
      <x:c r="A61" s="16" t="n">
        <x:v>60</x:v>
      </x:c>
      <x:c r="B61" s="16" t="str">
        <x:v>​7642134681743379733</x:v>
      </x:c>
      <x:c r="C61" s="16" t="str">
        <x:v>https://www.tiktok.com/@indicadaju/video/7642134681743379733</x:v>
      </x:c>
      <x:c r="D61" s="16" t="str">
        <x:v>D:\Projetos\TiktokShop\Transcricoes TikTok 2026-08-03\08_tiktok_7642134681743379733_transcricao.md</x:v>
      </x:c>
      <x:c r="E61" s="16" t="str">
        <x:v>Copy falada</x:v>
      </x:c>
      <x:c r="F61" s="16" t="str">
        <x:v>Baixa</x:v>
      </x:c>
      <x:c r="G61" s="16" t="str">
        <x:v>Transcrição automática com trechos possivelmente corrompidos; revisar o áudio antes de reutilizar literalmente.</x:v>
      </x:c>
    </x:row>
    <x:row r="62">
      <x:c r="A62" s="16" t="n">
        <x:v>61</x:v>
      </x:c>
      <x:c r="B62" s="16" t="str">
        <x:v>​7643551744722521365</x:v>
      </x:c>
      <x:c r="C62" s="16" t="str">
        <x:v>https://www.tiktok.com/@achadinhosshop3.0_/video/7643551744722521365</x:v>
      </x:c>
      <x:c r="D62" s="16" t="str">
        <x:v>D:\Projetos\TiktokShop\Transcricoes TikTok 2026-08-03\01_tiktok_7643551744722521365_transcricao.md</x:v>
      </x:c>
      <x:c r="E62" s="16" t="str">
        <x:v>Copy falada</x:v>
      </x:c>
      <x:c r="F62" s="16" t="str">
        <x:v>Baixa</x:v>
      </x:c>
      <x:c r="G62" s="16" t="str">
        <x:v>Transcrição automática com trechos possivelmente corrompidos; revisar o áudio antes de reutilizar literalmente.</x:v>
      </x:c>
    </x:row>
    <x:row r="63">
      <x:c r="A63" s="16" t="n">
        <x:v>62</x:v>
      </x:c>
      <x:c r="B63" s="16" t="str">
        <x:v>​7645283708060175636</x:v>
      </x:c>
      <x:c r="C63" s="16" t="str">
        <x:v>https://www.tiktok.com/@achadinhosshop3.0_/video/7645283708060175636</x:v>
      </x:c>
      <x:c r="D63" s="16" t="str">
        <x:v>D:\Projetos\TiktokShop\Transcricoes TikTok 2026-08-03\10_tiktok_7645283708060175636_transcricao.md</x:v>
      </x:c>
      <x:c r="E63" s="16" t="str">
        <x:v>Copy falada</x:v>
      </x:c>
      <x:c r="F63" s="16" t="str">
        <x:v>Baixa</x:v>
      </x:c>
      <x:c r="G63" s="16" t="str">
        <x:v>Transcrição automática com trechos possivelmente corrompidos; revisar o áudio antes de reutilizar literalmente.</x:v>
      </x:c>
    </x:row>
    <x:row r="64">
      <x:c r="A64" s="16" t="n">
        <x:v>63</x:v>
      </x:c>
      <x:c r="B64" s="16" t="str">
        <x:v>​7647862663225085204</x:v>
      </x:c>
      <x:c r="C64" s="16" t="str">
        <x:v>https://www.tiktok.com/@user4554507297834/video/7647862663225085204</x:v>
      </x:c>
      <x:c r="D64" s="16" t="str">
        <x:v>D:\Projetos\TiktokShop\Transcricoes TikTok 2026-08-03\02_tiktok_7647862663225085204_transcricao.md</x:v>
      </x:c>
      <x:c r="E64" s="16" t="str">
        <x:v>Copy falada</x:v>
      </x:c>
      <x:c r="F64" s="16" t="str">
        <x:v>Baixa</x:v>
      </x:c>
      <x:c r="G64" s="16" t="str">
        <x:v>Transcrição automática com trechos possivelmente corrompidos; revisar o áudio antes de reutilizar literalmente.</x:v>
      </x:c>
    </x:row>
    <x:row r="65">
      <x:c r="A65" s="16" t="n">
        <x:v>64</x:v>
      </x:c>
      <x:c r="B65" s="16" t="str">
        <x:v>​7649047658216148231</x:v>
      </x:c>
      <x:c r="C65" s="16" t="str">
        <x:v>https://www.tiktok.com/@thaisdossantos63/video/7649047658216148231</x:v>
      </x:c>
      <x:c r="D65" s="16" t="str">
        <x:v>D:\Projetos\TiktokShop\Transcricoes TikTok 2026-08-03\04_tiktok_7649047658216148231_transcricao.md</x:v>
      </x:c>
      <x:c r="E65" s="16" t="str">
        <x:v>Copy falada</x:v>
      </x:c>
      <x:c r="F65" s="16" t="str">
        <x:v>Baixa</x:v>
      </x:c>
      <x:c r="G65" s="16" t="str">
        <x:v>Transcrição automática com trechos possivelmente corrompidos; revisar o áudio antes de reutilizar literalmente.</x:v>
      </x:c>
    </x:row>
    <x:row r="66">
      <x:c r="A66" s="16" t="n">
        <x:v>65</x:v>
      </x:c>
      <x:c r="B66" s="16" t="str">
        <x:v>​7655451196701953300</x:v>
      </x:c>
      <x:c r="C66" s="16" t="str">
        <x:v>https://www.tiktok.com/@achadinhosshop3.0_/video/7655451196701953300</x:v>
      </x:c>
      <x:c r="D66" s="16" t="str">
        <x:v>D:\Projetos\TiktokShop\Transcricoes TikTok 2026-08-03\03_tiktok_7655451196701953300_transcricao.md</x:v>
      </x:c>
      <x:c r="E66" s="16" t="str">
        <x:v>Copy falada</x:v>
      </x:c>
      <x:c r="F66" s="16" t="str">
        <x:v>Baixa</x:v>
      </x:c>
      <x:c r="G66" s="16" t="str">
        <x:v>Transcrição automática com trechos possivelmente corrompidos; revisar o áudio antes de reutilizar literalmente.</x:v>
      </x:c>
    </x:row>
    <x:row r="67">
      <x:c r="A67" s="16" t="n">
        <x:v>66</x:v>
      </x:c>
      <x:c r="B67" s="16" t="str">
        <x:v>​7655814557306326279</x:v>
      </x:c>
      <x:c r="C67" s="16" t="str">
        <x:v>https://www.tiktok.com/@thaisdossantos63/video/7655814557306326279</x:v>
      </x:c>
      <x:c r="D67" s="16" t="str">
        <x:v>D:\Projetos\TiktokShop\Transcricoes TikTok 2026-08-03\05_tiktok_7655814557306326279_transcricao.md</x:v>
      </x:c>
      <x:c r="E67" s="16" t="str">
        <x:v>Copy falada</x:v>
      </x:c>
      <x:c r="F67" s="16" t="str">
        <x:v>Baixa</x:v>
      </x:c>
      <x:c r="G67" s="16" t="str">
        <x:v>Transcrição automática com trechos possivelmente corrompidos; revisar o áudio antes de reutilizar literalmente.</x:v>
      </x:c>
    </x:row>
    <x:row r="68">
      <x:c r="A68" s="16" t="n">
        <x:v>67</x:v>
      </x:c>
      <x:c r="B68" s="16" t="str">
        <x:v>​7658746614630108436</x:v>
      </x:c>
      <x:c r="C68" s="16" t="str">
        <x:v>https://www.tiktok.com/@achadinhosshop3.0_/video/7658746614630108436</x:v>
      </x:c>
      <x:c r="D68" s="16" t="str">
        <x:v>D:\Projetos\TiktokShop\Transcricoes TikTok 2026-08-03\07_tiktok_7658746614630108436_transcricao.md</x:v>
      </x:c>
      <x:c r="E68" s="16" t="str">
        <x:v>Copy falada</x:v>
      </x:c>
      <x:c r="F68" s="16" t="str">
        <x:v>Alta</x:v>
      </x:c>
      <x:c r="G68" s="16" t="str">
        <x:v>Transcrição utilizável como referência editorial; validar alegações comerciais antes de adaptar.</x:v>
      </x:c>
    </x:row>
    <x:row r="69">
      <x:c r="A69" s="16" t="n">
        <x:v>68</x:v>
      </x:c>
      <x:c r="B69" s="16" t="str">
        <x:v>​7660560041065368853</x:v>
      </x:c>
      <x:c r="C69" s="16" t="str">
        <x:v>https://www.tiktok.com/@achadinhosshop3.0_/video/7660560041065368853</x:v>
      </x:c>
      <x:c r="D69" s="16" t="str">
        <x:v>D:\Projetos\TiktokShop\Transcricoes TikTok 2026-08-03\09_tiktok_7660560041065368853_transcricao.md</x:v>
      </x:c>
      <x:c r="E69" s="16" t="str">
        <x:v>Copy falada</x:v>
      </x:c>
      <x:c r="F69" s="16" t="str">
        <x:v>Baixa</x:v>
      </x:c>
      <x:c r="G69" s="16" t="str">
        <x:v>Transcrição automática com trechos possivelmente corrompidos; revisar o áudio antes de reutilizar literalmente.</x:v>
      </x:c>
    </x:row>
    <x:row r="70">
      <x:c r="A70" s="16" t="n">
        <x:v>69</x:v>
      </x:c>
      <x:c r="B70" s="16" t="str">
        <x:v>​7668325517308759316</x:v>
      </x:c>
      <x:c r="C70" s="16" t="str">
        <x:v>https://www.tiktok.com/@achadinhosshop3.0_/video/7668325517308759316</x:v>
      </x:c>
      <x:c r="D70" s="16" t="str">
        <x:v>D:\Projetos\TiktokShop\Transcricoes TikTok 2026-08-03\06_tiktok_7668325517308759316_transcricao.md</x:v>
      </x:c>
      <x:c r="E70" s="16" t="str">
        <x:v>Copy falada</x:v>
      </x:c>
      <x:c r="F70" s="16" t="str">
        <x:v>Baixa</x:v>
      </x:c>
      <x:c r="G70" s="16" t="str">
        <x:v>Transcrição automática com trechos possivelmente corrompidos; revisar o áudio antes de reutilizar literalmente.</x:v>
      </x:c>
    </x:row>
    <x:row r="71">
      <x:c r="A71" s="16" t="n">
        <x:v>70</x:v>
      </x:c>
      <x:c r="B71" s="16" t="str">
        <x:v>​7645995437526093077</x:v>
      </x:c>
      <x:c r="C71" s="16" t="str">
        <x:v>https://www.tiktok.com/@wolfstoreoficial/video/7645995437526093077</x:v>
      </x:c>
      <x:c r="D71" s="16" t="str">
        <x:v>D:\Projetos\TiktokShop\Kit 6 formas de silicone\tiktok_7645995437526093077_transcricao.md</x:v>
      </x:c>
      <x:c r="E71" s="16" t="str">
        <x:v>Copy falada</x:v>
      </x:c>
      <x:c r="F71" s="16" t="str">
        <x:v>Alta</x:v>
      </x:c>
      <x:c r="G71" s="16" t="str">
        <x:v>Transcrição utilizável como referência editorial; validar alegações comerciais antes de adaptar.</x:v>
      </x:c>
    </x:row>
    <x:row r="72">
      <x:c r="A72" s="16" t="n">
        <x:v>71</x:v>
      </x:c>
      <x:c r="B72" s="16" t="str">
        <x:v>​7646067571699109141</x:v>
      </x:c>
      <x:c r="C72" s="16" t="str">
        <x:v>https://www.tiktok.com/@louisa.0rtega/video/7646067571699109141</x:v>
      </x:c>
      <x:c r="D72" s="16" t="str">
        <x:v>D:\Projetos\TiktokShop\Kit 6 formas de silicone\tiktok_7646067571699109141_transcricao.md</x:v>
      </x:c>
      <x:c r="E72" s="16" t="str">
        <x:v>Copy falada</x:v>
      </x:c>
      <x:c r="F72" s="16" t="str">
        <x:v>Alta</x:v>
      </x:c>
      <x:c r="G72" s="16" t="str">
        <x:v>Transcrição utilizável como referência editorial; validar alegações comerciais antes de adaptar.</x:v>
      </x:c>
    </x:row>
    <x:row r="73">
      <x:c r="A73" s="16" t="n">
        <x:v>72</x:v>
      </x:c>
      <x:c r="B73" s="16" t="str">
        <x:v>​7659856458086911253</x:v>
      </x:c>
      <x:c r="C73" s="16" t="str">
        <x:v>https://www.tiktok.com/@__dnani/video/7659856458086911253</x:v>
      </x:c>
      <x:c r="D73" s="16" t="str">
        <x:v>D:\Projetos\TiktokShop\Transcricao TikTok 2026-08-03 __dnani 7659856458086911253\01_tiktok_7659856458086911253_transcricao.md</x:v>
      </x:c>
      <x:c r="E73" s="16" t="str">
        <x:v>Copy falada</x:v>
      </x:c>
      <x:c r="F73" s="16" t="str">
        <x:v>Alta</x:v>
      </x:c>
      <x:c r="G73" s="16" t="str">
        <x:v>Transcrição utilizável como referência editorial; validar alegações comerciais antes de adaptar.</x:v>
      </x:c>
    </x:row>
    <x:row r="74">
      <x:c r="A74" s="16" t="n">
        <x:v>73</x:v>
      </x:c>
      <x:c r="B74" s="16" t="str">
        <x:v>​7630936938945596680</x:v>
      </x:c>
      <x:c r="C74" s="16" t="str"/>
      <x:c r="D74" s="16" t="str">
        <x:v>D:\Projetos\TiktokShop\7630936938945596680_transcricao.md</x:v>
      </x:c>
      <x:c r="E74" s="16" t="str">
        <x:v>Copy falada</x:v>
      </x:c>
      <x:c r="F74" s="16" t="str">
        <x:v>Alta</x:v>
      </x:c>
      <x:c r="G74" s="16" t="str">
        <x:v>Transcrição utilizável como referência editorial; validar alegações comerciais antes de adaptar.</x:v>
      </x:c>
    </x:row>
    <x:row r="75">
      <x:c r="A75" s="16" t="n">
        <x:v>74</x:v>
      </x:c>
      <x:c r="B75" s="16" t="str">
        <x:v>​7658416944932064532</x:v>
      </x:c>
      <x:c r="C75" s="16" t="str">
        <x:v>https://www.tiktok.com/@claralimax21/video/7658416944932064532</x:v>
      </x:c>
      <x:c r="D75" s="16" t="str">
        <x:v>D:\Projetos\TiktokShop\tiktok_7658416944932064532_transcricao.md</x:v>
      </x:c>
      <x:c r="E75" s="16" t="str">
        <x:v>Copy falada</x:v>
      </x:c>
      <x:c r="F75" s="16" t="str">
        <x:v>Alta</x:v>
      </x:c>
      <x:c r="G75" s="16" t="str">
        <x:v>Transcrição utilizável como referência editorial; validar alegações comerciais antes de adaptar.</x:v>
      </x:c>
    </x:row>
    <x:row r="76">
      <x:c r="A76" s="16" t="n">
        <x:v>75</x:v>
      </x:c>
      <x:c r="B76" s="16" t="str">
        <x:v>​Vd0000001</x:v>
      </x:c>
      <x:c r="C76" s="16" t="str"/>
      <x:c r="D76" s="16" t="str">
        <x:v>D:\Projetos\TiktokShop\Vd0000001_transcricao_com_oradores.md</x:v>
      </x:c>
      <x:c r="E76" s="16" t="str">
        <x:v>Copy falada</x:v>
      </x:c>
      <x:c r="F76" s="16" t="str">
        <x:v>Alta</x:v>
      </x:c>
      <x:c r="G76" s="16" t="str">
        <x:v>Transcrição utilizável como referência editorial; validar alegações comerciais antes de adaptar.</x:v>
      </x:c>
    </x:row>
  </x:sheetData>
  <x:pageMargins left="0.7" right="0.7" top="0.75" bottom="0.75" header="0.3" footer="0.3"/>
  <x:tableParts count="1">
    <x:tablePart xmlns:r="http://schemas.openxmlformats.org/officeDocument/2006/relationships" r:id="R3680ff116063421f"/>
  </x:tableParts>
</x:worksheet>
</file>